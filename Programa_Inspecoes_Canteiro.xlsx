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hecklists" sheetId="2" state="visible" r:id="rId4"/>
    <sheet name="Cronograma" sheetId="3" state="visible" r:id="rId5"/>
    <sheet name="KPIs" sheetId="4" state="visible" r:id="rId6"/>
    <sheet name="Eventos" sheetId="5" state="visible" r:id="rId7"/>
  </sheets>
  <definedNames>
    <definedName function="false" hidden="true" localSheetId="1" name="_xlnm._FilterDatabase" vbProcedure="false">Checklists!$A$1:$L$291</definedName>
    <definedName function="false" hidden="true" localSheetId="2" name="_xlnm._FilterDatabase" vbProcedure="false">Cronograma!$A$1:$K$28</definedName>
    <definedName function="false" hidden="true" localSheetId="3" name="_xlnm._FilterDatabase" vbProcedure="false">KPIs!$A$1:$F$38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<sst xmlns="http://schemas.openxmlformats.org/spreadsheetml/2006/main" count="2171" uniqueCount="825">
  <si>
    <t xml:space="preserve">PROGRAMA DE INSPEÇÕES DE CAMPO – CANTEIRO DE OBRAS</t>
  </si>
  <si>
    <t xml:space="preserve">Checklists por NR e por área | Cronograma semanal | Base para KPIs</t>
  </si>
  <si>
    <t xml:space="preserve">Como usar</t>
  </si>
  <si>
    <t xml:space="preserve">1. Aba CHECKLISTS</t>
  </si>
  <si>
    <t xml:space="preserve">Lista mestra com todos os itens de verificação, organizados por código (ex.: ST-03 = NR-10). Cada item recebe UMA resposta: Conforme / Não Conforme / Não Aplicável (validação de dados já configurada).</t>
  </si>
  <si>
    <t xml:space="preserve">2. Campos de resposta</t>
  </si>
  <si>
    <t xml:space="preserve">Resposta, Observação, Evidência Fotográfica (Sim/Não), Responsável pela correção, Prazo e Status (Aberto / Em Andamento / Fechado).</t>
  </si>
  <si>
    <t xml:space="preserve">3. Aba CRONOGRAMA</t>
  </si>
  <si>
    <t xml:space="preserve">Distribuição semanal das inspeções por dia, com frequência, duração estimada e responsável sugerido. Inspeções 'por evento' (NR-33, trabalho a quente, escavações) são disparadas pela emissão da PT ou abertura da frente.</t>
  </si>
  <si>
    <t xml:space="preserve">4. Aba KPIs</t>
  </si>
  <si>
    <t xml:space="preserve">Catálogo de indicadores com fórmula, fonte de dados, frequência de apuração e meta sugerida. Todos podem ser calculados a partir das respostas dos formulários.</t>
  </si>
  <si>
    <t xml:space="preserve">Regra de ouro</t>
  </si>
  <si>
    <t xml:space="preserve">Todo 'Não Conforme' deve gerar: observação + evidência + responsável + prazo. NC sem plano de ação não fecha indicador.</t>
  </si>
  <si>
    <t xml:space="preserve">Estrutura de códigos</t>
  </si>
  <si>
    <t xml:space="preserve">ST = Segurança do Trabalho | MA = Meio Ambiente | QA = Qualidade | EQ = Equipamentos | DC = Documentação | VE = Veículos | SO = Saúde Ocupacional | EM = Emergência | CT = Contratadas | PR = Produção</t>
  </si>
  <si>
    <t xml:space="preserve">5. Aba EVENTOS</t>
  </si>
  <si>
    <t xml:space="preserve">Log automático: toda resposta 'Não Conforme' na aba Checklists aparece aqui como um evento, trazendo observação, evidência (link/ID da foto), responsável, prazo e status. Inclui tabelas-resumo e gráficos (NCs por área, status e % de conformidade) que se atualizam sozinhos.</t>
  </si>
  <si>
    <t xml:space="preserve">Código</t>
  </si>
  <si>
    <t xml:space="preserve">Área</t>
  </si>
  <si>
    <t xml:space="preserve">Referência</t>
  </si>
  <si>
    <t xml:space="preserve">Nº</t>
  </si>
  <si>
    <t xml:space="preserve">Item de Verificação</t>
  </si>
  <si>
    <t xml:space="preserve">Critério / O que verificar</t>
  </si>
  <si>
    <t xml:space="preserve">Resposta</t>
  </si>
  <si>
    <t xml:space="preserve">Observação</t>
  </si>
  <si>
    <t xml:space="preserve">Evidência (link/ID da foto)</t>
  </si>
  <si>
    <t xml:space="preserve">Responsável</t>
  </si>
  <si>
    <t xml:space="preserve">Prazo Correção</t>
  </si>
  <si>
    <t xml:space="preserve">Status</t>
  </si>
  <si>
    <t xml:space="preserve">aux</t>
  </si>
  <si>
    <t xml:space="preserve">ST-01</t>
  </si>
  <si>
    <t xml:space="preserve">Segurança do Trabalho</t>
  </si>
  <si>
    <t xml:space="preserve">NR-01 – Gerenciamento de Riscos (GRO/PGR)</t>
  </si>
  <si>
    <t xml:space="preserve">APR disponível na frente de serviço</t>
  </si>
  <si>
    <t xml:space="preserve">APR impressa/digital acessível no local da atividade</t>
  </si>
  <si>
    <t xml:space="preserve">Aberto</t>
  </si>
  <si>
    <t xml:space="preserve">APR assinada por todos os executantes</t>
  </si>
  <si>
    <t xml:space="preserve">Assinaturas de toda a equipe e do responsável</t>
  </si>
  <si>
    <t xml:space="preserve">APR compatível com a atividade real</t>
  </si>
  <si>
    <t xml:space="preserve">Riscos e etapas descritos correspondem ao que está sendo executado</t>
  </si>
  <si>
    <t xml:space="preserve">DDS realizado e registrado</t>
  </si>
  <si>
    <t xml:space="preserve">Registro diário com tema, lista de presença e assinaturas</t>
  </si>
  <si>
    <t xml:space="preserve">Permissão de Trabalho (PT) emitida</t>
  </si>
  <si>
    <t xml:space="preserve">PT válida para atividades especiais (altura, quente, elétrica, confinado)</t>
  </si>
  <si>
    <t xml:space="preserve">Equipe treinada para a atividade</t>
  </si>
  <si>
    <t xml:space="preserve">Certificados válidos das NRs aplicáveis</t>
  </si>
  <si>
    <t xml:space="preserve">Trabalhadores formalmente autorizados</t>
  </si>
  <si>
    <t xml:space="preserve">Autorização documentada (ex.: NR-10, NR-35)</t>
  </si>
  <si>
    <t xml:space="preserve">Ferramentas e equipamentos inspecionados</t>
  </si>
  <si>
    <t xml:space="preserve">Checklist pré-uso preenchido, itens reprovados segregados</t>
  </si>
  <si>
    <t xml:space="preserve">Riscos comunicados à equipe</t>
  </si>
  <si>
    <t xml:space="preserve">Trabalhadores sabem descrever os riscos e controles da tarefa</t>
  </si>
  <si>
    <t xml:space="preserve">Medidas de controle implantadas</t>
  </si>
  <si>
    <t xml:space="preserve">Hierarquia de controles aplicada (eliminação → EPI)</t>
  </si>
  <si>
    <t xml:space="preserve">Mudanças na atividade reavaliadas</t>
  </si>
  <si>
    <t xml:space="preserve">Alteração de escopo gerou revisão da APR/PT</t>
  </si>
  <si>
    <t xml:space="preserve">PGR do canteiro atualizado</t>
  </si>
  <si>
    <t xml:space="preserve">Inventário de riscos e plano de ação vigentes</t>
  </si>
  <si>
    <t xml:space="preserve">ST-02</t>
  </si>
  <si>
    <t xml:space="preserve">NR-06 – Equipamentos de Proteção Individual</t>
  </si>
  <si>
    <t xml:space="preserve">Capacete com jugular</t>
  </si>
  <si>
    <t xml:space="preserve">Uso correto, jugular ajustada em altura/içamento</t>
  </si>
  <si>
    <t xml:space="preserve">Óculos de proteção</t>
  </si>
  <si>
    <t xml:space="preserve">Compatível com o risco (impacto, UV, respingo)</t>
  </si>
  <si>
    <t xml:space="preserve">Botina de segurança</t>
  </si>
  <si>
    <t xml:space="preserve">Biqueira adequada, solado íntegro</t>
  </si>
  <si>
    <t xml:space="preserve">Vestimenta adequada</t>
  </si>
  <si>
    <t xml:space="preserve">Manga longa, uniforme íntegro; antichama onde exigido</t>
  </si>
  <si>
    <t xml:space="preserve">Luva correta para a tarefa</t>
  </si>
  <si>
    <t xml:space="preserve">Tipo compatível: mecânica, isolante, química, corte</t>
  </si>
  <si>
    <t xml:space="preserve">Protetor auricular</t>
  </si>
  <si>
    <t xml:space="preserve">Uso em áreas com ruído ≥ 85 dB(A)</t>
  </si>
  <si>
    <t xml:space="preserve">Protetor solar disponível e em uso</t>
  </si>
  <si>
    <t xml:space="preserve">Atividades a céu aberto (NR-21)</t>
  </si>
  <si>
    <t xml:space="preserve">Colete refletivo</t>
  </si>
  <si>
    <t xml:space="preserve">Áreas com tráfego de veículos/máquinas</t>
  </si>
  <si>
    <t xml:space="preserve">Proteção respiratória</t>
  </si>
  <si>
    <t xml:space="preserve">Máscara correta para poeira/fumos, com PPR quando aplicável</t>
  </si>
  <si>
    <t xml:space="preserve">Cinturão tipo paraquedista</t>
  </si>
  <si>
    <t xml:space="preserve">Trabalho em altura, íntegro e inspecionado</t>
  </si>
  <si>
    <t xml:space="preserve">Talabarte e absorvedor de energia</t>
  </si>
  <si>
    <t xml:space="preserve">Compatíveis com o plano de ancoragem</t>
  </si>
  <si>
    <t xml:space="preserve">Estado geral dos EPIs</t>
  </si>
  <si>
    <t xml:space="preserve">Sem danos, higienizados, dentro da vida útil</t>
  </si>
  <si>
    <t xml:space="preserve">CA válido</t>
  </si>
  <si>
    <t xml:space="preserve">Certificado de Aprovação vigente e legível</t>
  </si>
  <si>
    <t xml:space="preserve">Registro de entrega de EPI</t>
  </si>
  <si>
    <t xml:space="preserve">Ficha de EPI assinada e atualizada</t>
  </si>
  <si>
    <t xml:space="preserve">ST-03</t>
  </si>
  <si>
    <t xml:space="preserve">NR-10 – Instalações e Serviços em Eletricidade</t>
  </si>
  <si>
    <t xml:space="preserve">Painéis e circuitos identificados</t>
  </si>
  <si>
    <t xml:space="preserve">Identificação legível de painéis, disjuntores e circuitos</t>
  </si>
  <si>
    <t xml:space="preserve">Bloqueio e etiquetagem (LOTO)</t>
  </si>
  <si>
    <t xml:space="preserve">Cadeados individuais e etiquetas aplicados nas fontes de energia</t>
  </si>
  <si>
    <t xml:space="preserve">Ausência de tensão verificada</t>
  </si>
  <si>
    <t xml:space="preserve">Teste com detector antes do início dos serviços</t>
  </si>
  <si>
    <t xml:space="preserve">Aterramento temporário instalado</t>
  </si>
  <si>
    <t xml:space="preserve">Conjunto de aterramento aplicado conforme procedimento</t>
  </si>
  <si>
    <t xml:space="preserve">Isolamento e barreiras</t>
  </si>
  <si>
    <t xml:space="preserve">Partes vivas isoladas/sinalizadas, distâncias de segurança</t>
  </si>
  <si>
    <t xml:space="preserve">Ferramentas isoladas</t>
  </si>
  <si>
    <t xml:space="preserve">Ferramental com isolação íntegra e certificada</t>
  </si>
  <si>
    <t xml:space="preserve">Extintor adequado disponível</t>
  </si>
  <si>
    <t xml:space="preserve">CO2 ou pó BC próximo à atividade</t>
  </si>
  <si>
    <t xml:space="preserve">Área sinalizada e delimitada</t>
  </si>
  <si>
    <t xml:space="preserve">Isolamento físico e placas de advertência</t>
  </si>
  <si>
    <t xml:space="preserve">Profissionais autorizados</t>
  </si>
  <si>
    <t xml:space="preserve">Autorização formal + treinamento NR-10 (e SEP quando aplicável)</t>
  </si>
  <si>
    <t xml:space="preserve">Vestimenta antichama (arco elétrico)</t>
  </si>
  <si>
    <t xml:space="preserve">ATPV compatível com o estudo de arco/categoria de risco</t>
  </si>
  <si>
    <t xml:space="preserve">Prontuário das Instalações Elétricas (PIE)</t>
  </si>
  <si>
    <t xml:space="preserve">Atualizado e disponível</t>
  </si>
  <si>
    <t xml:space="preserve">Diagramas unifilares disponíveis</t>
  </si>
  <si>
    <t xml:space="preserve">Atualizados e correspondentes ao campo</t>
  </si>
  <si>
    <t xml:space="preserve">Medições de resistência de aterramento</t>
  </si>
  <si>
    <t xml:space="preserve">Laudos SPDA/malha dentro da validade</t>
  </si>
  <si>
    <t xml:space="preserve">ST-04</t>
  </si>
  <si>
    <t xml:space="preserve">NR-11 – Movimentação de Cargas / Içamento</t>
  </si>
  <si>
    <t xml:space="preserve">Plano de rigging elaborado e aprovado</t>
  </si>
  <si>
    <t xml:space="preserve">Içamentos críticos com plano assinado por profissional habilitado</t>
  </si>
  <si>
    <t xml:space="preserve">Operador habilitado e autorizado</t>
  </si>
  <si>
    <t xml:space="preserve">CNH/certificação compatível com o equipamento, ASO válido</t>
  </si>
  <si>
    <t xml:space="preserve">Sinaleiro/amarrador treinado</t>
  </si>
  <si>
    <t xml:space="preserve">Presente, identificado e com comunicação eficaz</t>
  </si>
  <si>
    <t xml:space="preserve">Carga identificada e pesada</t>
  </si>
  <si>
    <t xml:space="preserve">Peso conhecido ≤ capacidade da tabela de carga</t>
  </si>
  <si>
    <t xml:space="preserve">Cabos de aço em boas condições</t>
  </si>
  <si>
    <t xml:space="preserve">Sem gaiola, fios rompidos ou corrosão</t>
  </si>
  <si>
    <t xml:space="preserve">Cintas íntegras e etiquetadas</t>
  </si>
  <si>
    <t xml:space="preserve">Etiqueta de capacidade legível, sem cortes/abrasão</t>
  </si>
  <si>
    <t xml:space="preserve">Manilhas e acessórios certificados</t>
  </si>
  <si>
    <t xml:space="preserve">Pino correto, capacidade identificada</t>
  </si>
  <si>
    <t xml:space="preserve">Gancho com trava de segurança</t>
  </si>
  <si>
    <t xml:space="preserve">Trava funcional, sem deformação</t>
  </si>
  <si>
    <t xml:space="preserve">Área de içamento isolada</t>
  </si>
  <si>
    <t xml:space="preserve">Ninguém sob carga suspensa; raio de giro delimitado</t>
  </si>
  <si>
    <t xml:space="preserve">Comunicação operador × sinaleiro</t>
  </si>
  <si>
    <t xml:space="preserve">Rádio ou sinais padronizados</t>
  </si>
  <si>
    <t xml:space="preserve">Condições de vento monitoradas</t>
  </si>
  <si>
    <t xml:space="preserve">Içamento suspenso acima do limite do fabricante</t>
  </si>
  <si>
    <t xml:space="preserve">Equipamento inspecionado</t>
  </si>
  <si>
    <t xml:space="preserve">Checklist diário + inspeção/laudo periódico (guindaste, munck, MEWP)</t>
  </si>
  <si>
    <t xml:space="preserve">Patolamento e nivelamento adequados</t>
  </si>
  <si>
    <t xml:space="preserve">Solo compactado, pranchas de apoio, equipamento nivelado</t>
  </si>
  <si>
    <t xml:space="preserve">ST-05</t>
  </si>
  <si>
    <t xml:space="preserve">NR-12 – Máquinas e Equipamentos</t>
  </si>
  <si>
    <t xml:space="preserve">Proteções fixas e móveis instaladas</t>
  </si>
  <si>
    <t xml:space="preserve">Partes móveis enclausuradas, intertravamentos funcionais</t>
  </si>
  <si>
    <t xml:space="preserve">Botão de emergência funcional</t>
  </si>
  <si>
    <t xml:space="preserve">Testado, acessível e sinalizado</t>
  </si>
  <si>
    <t xml:space="preserve">Chave geral e dispositivo de bloqueio</t>
  </si>
  <si>
    <t xml:space="preserve">Permite bloqueio para manutenção</t>
  </si>
  <si>
    <t xml:space="preserve">Etiquetas e identificação</t>
  </si>
  <si>
    <t xml:space="preserve">Placas de dados, advertências e capacidade</t>
  </si>
  <si>
    <t xml:space="preserve">Plano/registro de manutenção</t>
  </si>
  <si>
    <t xml:space="preserve">Preventivas em dia, histórico disponível</t>
  </si>
  <si>
    <t xml:space="preserve">Ausência de vazamentos</t>
  </si>
  <si>
    <t xml:space="preserve">Óleo, combustível, hidráulico</t>
  </si>
  <si>
    <t xml:space="preserve">Operador treinado/capacitado</t>
  </si>
  <si>
    <t xml:space="preserve">Capacitação NR-12 específica do equipamento</t>
  </si>
  <si>
    <t xml:space="preserve">Manual do fabricante disponível</t>
  </si>
  <si>
    <t xml:space="preserve">Em português, acessível à operação/manutenção</t>
  </si>
  <si>
    <t xml:space="preserve">Área de operação protegida</t>
  </si>
  <si>
    <t xml:space="preserve">Delimitação, afastamento de terceiros</t>
  </si>
  <si>
    <t xml:space="preserve">Inventário de máquinas atualizado</t>
  </si>
  <si>
    <t xml:space="preserve">Máquinas do canteiro identificadas no PGR</t>
  </si>
  <si>
    <t xml:space="preserve">ST-06</t>
  </si>
  <si>
    <t xml:space="preserve">NR-18 – Condições de Segurança no Canteiro</t>
  </si>
  <si>
    <t xml:space="preserve">Organização e limpeza geral</t>
  </si>
  <si>
    <t xml:space="preserve">Frentes e áreas comuns sem entulho/obstruções</t>
  </si>
  <si>
    <t xml:space="preserve">Acessos e circulação seguros</t>
  </si>
  <si>
    <t xml:space="preserve">Vias definidas, segregação homem × máquina</t>
  </si>
  <si>
    <t xml:space="preserve">Iluminação adequada</t>
  </si>
  <si>
    <t xml:space="preserve">Áreas de trabalho e circulação, incluindo noturno</t>
  </si>
  <si>
    <t xml:space="preserve">Sinalização do canteiro</t>
  </si>
  <si>
    <t xml:space="preserve">Placas de obrigação, advertência e emergência</t>
  </si>
  <si>
    <t xml:space="preserve">Proteções coletivas instaladas</t>
  </si>
  <si>
    <t xml:space="preserve">Guarda-corpo, rodapé, fechamento de aberturas de piso</t>
  </si>
  <si>
    <t xml:space="preserve">Tapumes e fechamento da obra</t>
  </si>
  <si>
    <t xml:space="preserve">Íntegros, com portões controlados</t>
  </si>
  <si>
    <t xml:space="preserve">Escadas de mão e uso correto</t>
  </si>
  <si>
    <t xml:space="preserve">Íntegras, amarradas, ultrapassando 1 m do apoio</t>
  </si>
  <si>
    <t xml:space="preserve">Andaimes conformes</t>
  </si>
  <si>
    <t xml:space="preserve">Projeto/ART, pisos completos, rodízios travados, acesso seguro</t>
  </si>
  <si>
    <t xml:space="preserve">Passarelas e rampas</t>
  </si>
  <si>
    <t xml:space="preserve">Dimensionadas, com guarda-corpo e antiderrapante</t>
  </si>
  <si>
    <t xml:space="preserve">Instalações sanitárias</t>
  </si>
  <si>
    <t xml:space="preserve">Quantidade por efetivo, limpeza, papel/sabão</t>
  </si>
  <si>
    <t xml:space="preserve">Vestiário adequado</t>
  </si>
  <si>
    <t xml:space="preserve">Armários individuais, ventilação</t>
  </si>
  <si>
    <t xml:space="preserve">Refeitório conforme</t>
  </si>
  <si>
    <t xml:space="preserve">Mesas, assentos, lavatório, proteção contra intempéries</t>
  </si>
  <si>
    <t xml:space="preserve">Água potável disponível</t>
  </si>
  <si>
    <t xml:space="preserve">Fresca, filtrada, em todas as frentes (1 bebedouro/25 trab.)</t>
  </si>
  <si>
    <t xml:space="preserve">Almoxarifado organizado</t>
  </si>
  <si>
    <t xml:space="preserve">Prateleiras seguras, itens identificados</t>
  </si>
  <si>
    <t xml:space="preserve">Armazenamento de materiais</t>
  </si>
  <si>
    <t xml:space="preserve">Empilhamento estável, distância de redes elétricas</t>
  </si>
  <si>
    <t xml:space="preserve">Inflamáveis e gases segregados</t>
  </si>
  <si>
    <t xml:space="preserve">Área ventilada, cilindros presos e separados por tipo</t>
  </si>
  <si>
    <t xml:space="preserve">Produtos químicos com FISPQ</t>
  </si>
  <si>
    <t xml:space="preserve">Identificação, contenção e FISPQ no local</t>
  </si>
  <si>
    <t xml:space="preserve">Gestão de resíduos no canteiro</t>
  </si>
  <si>
    <t xml:space="preserve">Baias/coletores identificados</t>
  </si>
  <si>
    <t xml:space="preserve">Ferramentas e cabos elétricos</t>
  </si>
  <si>
    <t xml:space="preserve">Cabos sem emendas precárias, DR nos circuitos</t>
  </si>
  <si>
    <t xml:space="preserve">Extintores e primeiros socorros</t>
  </si>
  <si>
    <t xml:space="preserve">Distribuídos, sinalizados, carga válida, kit disponível</t>
  </si>
  <si>
    <t xml:space="preserve">Rotas de fuga e mapa de emergência</t>
  </si>
  <si>
    <t xml:space="preserve">Desobstruídas e sinalizadas</t>
  </si>
  <si>
    <t xml:space="preserve">ST-07</t>
  </si>
  <si>
    <t xml:space="preserve">NR-33 – Espaços Confinados</t>
  </si>
  <si>
    <t xml:space="preserve">PET emitida</t>
  </si>
  <si>
    <t xml:space="preserve">Permissão de Entrada e Trabalho específica, válida só para o turno</t>
  </si>
  <si>
    <t xml:space="preserve">Supervisor de entrada presente</t>
  </si>
  <si>
    <t xml:space="preserve">Designado formalmente, treinado (40h)</t>
  </si>
  <si>
    <t xml:space="preserve">Vigia dedicado</t>
  </si>
  <si>
    <t xml:space="preserve">Permanece no exterior, sem outras funções</t>
  </si>
  <si>
    <t xml:space="preserve">Monitoramento contínuo de gases</t>
  </si>
  <si>
    <t xml:space="preserve">O2, LEL, CO, H2S antes e durante</t>
  </si>
  <si>
    <t xml:space="preserve">Detector calibrado e testado</t>
  </si>
  <si>
    <t xml:space="preserve">Bump test/calibração dentro da validade</t>
  </si>
  <si>
    <t xml:space="preserve">Ventilação/exaustão adequada</t>
  </si>
  <si>
    <t xml:space="preserve">Insuflamento conforme avaliação</t>
  </si>
  <si>
    <t xml:space="preserve">Plano e equipe de resgate</t>
  </si>
  <si>
    <t xml:space="preserve">Meios próprios disponíveis, não depender só de acionamento externo</t>
  </si>
  <si>
    <t xml:space="preserve">Tripé e guincho de resgate</t>
  </si>
  <si>
    <t xml:space="preserve">Instalados quando entrada vertical</t>
  </si>
  <si>
    <t xml:space="preserve">Comunicação vigia × entrantes</t>
  </si>
  <si>
    <t xml:space="preserve">Rádio/contato contínuo</t>
  </si>
  <si>
    <t xml:space="preserve">Trabalhadores treinados (16h)</t>
  </si>
  <si>
    <t xml:space="preserve">Reciclagem em dia</t>
  </si>
  <si>
    <t xml:space="preserve">Espaços confinados identificados</t>
  </si>
  <si>
    <t xml:space="preserve">Cadastro e sinalização 'Entrada Proibida'</t>
  </si>
  <si>
    <t xml:space="preserve">ST-08</t>
  </si>
  <si>
    <t xml:space="preserve">NR-35 – Trabalho em Altura</t>
  </si>
  <si>
    <t xml:space="preserve">PT específica para altura</t>
  </si>
  <si>
    <t xml:space="preserve">Emitida e válida, com análise de risco</t>
  </si>
  <si>
    <t xml:space="preserve">Linha de vida instalada e certificada</t>
  </si>
  <si>
    <t xml:space="preserve">Projeto/inspeção, pontos de ancoragem ≥ resistência exigida</t>
  </si>
  <si>
    <t xml:space="preserve">Ancoragem adequada</t>
  </si>
  <si>
    <t xml:space="preserve">Estrutura verificada, ponto acima da cintura quando possível</t>
  </si>
  <si>
    <t xml:space="preserve">Cinturão, talabarte e absorvedor</t>
  </si>
  <si>
    <t xml:space="preserve">Inspecionados, compatíveis com zona livre de queda</t>
  </si>
  <si>
    <t xml:space="preserve">Obrigatório em toda atividade em altura</t>
  </si>
  <si>
    <t xml:space="preserve">Ferramentas amarradas</t>
  </si>
  <si>
    <t xml:space="preserve">Prevenção de queda de materiais</t>
  </si>
  <si>
    <t xml:space="preserve">Área inferior isolada</t>
  </si>
  <si>
    <t xml:space="preserve">Delimitação e sinalização sob a frente</t>
  </si>
  <si>
    <t xml:space="preserve">Trabalhadores treinados NR-35</t>
  </si>
  <si>
    <t xml:space="preserve">Curso 8h + reciclagem bienal, ASO com aptidão para altura</t>
  </si>
  <si>
    <t xml:space="preserve">Plano de resgate em altura</t>
  </si>
  <si>
    <t xml:space="preserve">Equipe, equipamentos e tempo de resposta definidos</t>
  </si>
  <si>
    <t xml:space="preserve">Condições climáticas avaliadas</t>
  </si>
  <si>
    <t xml:space="preserve">Suspensão em chuva/vento/tempestade elétrica</t>
  </si>
  <si>
    <t xml:space="preserve">ST-09</t>
  </si>
  <si>
    <t xml:space="preserve">NR-26 – Sinalização de Segurança</t>
  </si>
  <si>
    <t xml:space="preserve">Placas obrigatórias instaladas</t>
  </si>
  <si>
    <t xml:space="preserve">Uso de EPI, advertências por área</t>
  </si>
  <si>
    <t xml:space="preserve">Faixas e cones de delimitação</t>
  </si>
  <si>
    <t xml:space="preserve">Frentes ativas delimitadas</t>
  </si>
  <si>
    <t xml:space="preserve">Isolamento de áreas de risco</t>
  </si>
  <si>
    <t xml:space="preserve">Escavações, içamento, energizadas</t>
  </si>
  <si>
    <t xml:space="preserve">Identificação de riscos específicos</t>
  </si>
  <si>
    <t xml:space="preserve">Ruído, químicos, elétrico, radiação</t>
  </si>
  <si>
    <t xml:space="preserve">Sinalização de área elétrica</t>
  </si>
  <si>
    <t xml:space="preserve">Placas de perigo, restrição de acesso</t>
  </si>
  <si>
    <t xml:space="preserve">Sinalização de área de içamento</t>
  </si>
  <si>
    <t xml:space="preserve">Raio de operação demarcado</t>
  </si>
  <si>
    <t xml:space="preserve">Rotas de fuga sinalizadas</t>
  </si>
  <si>
    <t xml:space="preserve">Setas e pontos de encontro visíveis</t>
  </si>
  <si>
    <t xml:space="preserve">Mapa de emergência afixado</t>
  </si>
  <si>
    <t xml:space="preserve">Atualizado, em pontos estratégicos</t>
  </si>
  <si>
    <t xml:space="preserve">Cores de segurança e tubulações</t>
  </si>
  <si>
    <t xml:space="preserve">Padrão de cores conforme NR-26</t>
  </si>
  <si>
    <t xml:space="preserve">Rotulagem de produtos químicos (GHS)</t>
  </si>
  <si>
    <t xml:space="preserve">Rótulos e pictogramas legíveis</t>
  </si>
  <si>
    <t xml:space="preserve">ST-10</t>
  </si>
  <si>
    <t xml:space="preserve">Ordem, Limpeza e Arranjo Físico</t>
  </si>
  <si>
    <t xml:space="preserve">Material organizado por frente</t>
  </si>
  <si>
    <t xml:space="preserve">Sem estoque desnecessário na frente de serviço</t>
  </si>
  <si>
    <t xml:space="preserve">Sucata segregada</t>
  </si>
  <si>
    <t xml:space="preserve">Baia específica, remoção periódica</t>
  </si>
  <si>
    <t xml:space="preserve">Madeiras sem pregos expostos</t>
  </si>
  <si>
    <t xml:space="preserve">Pregos removidos ou rebatidos</t>
  </si>
  <si>
    <t xml:space="preserve">Cabos e mangueiras organizados</t>
  </si>
  <si>
    <t xml:space="preserve">Suspensos ou protegidos em travessias</t>
  </si>
  <si>
    <t xml:space="preserve">Entulho removido</t>
  </si>
  <si>
    <t xml:space="preserve">Sem acúmulo em circulação e frentes</t>
  </si>
  <si>
    <t xml:space="preserve">Drenagem desobstruída</t>
  </si>
  <si>
    <t xml:space="preserve">Canaletas e caixas limpas, sem empoçamento</t>
  </si>
  <si>
    <t xml:space="preserve">Passagens livres</t>
  </si>
  <si>
    <t xml:space="preserve">Corredores e acessos desimpedidos</t>
  </si>
  <si>
    <t xml:space="preserve">Empilhamento seguro</t>
  </si>
  <si>
    <t xml:space="preserve">Altura e amarração adequadas</t>
  </si>
  <si>
    <t xml:space="preserve">Housekeeping pós-turno</t>
  </si>
  <si>
    <t xml:space="preserve">Frente entregue limpa ao fim da jornada</t>
  </si>
  <si>
    <t xml:space="preserve">ST-11</t>
  </si>
  <si>
    <t xml:space="preserve">NR-17 – Ergonomia</t>
  </si>
  <si>
    <t xml:space="preserve">Levantamento manual de cargas</t>
  </si>
  <si>
    <t xml:space="preserve">Peso e frequência adequados, uso de meios auxiliares</t>
  </si>
  <si>
    <t xml:space="preserve">Posturas de trabalho</t>
  </si>
  <si>
    <t xml:space="preserve">Alternância de postura, sem posturas extremas prolongadas</t>
  </si>
  <si>
    <t xml:space="preserve">Pausas em atividades pesadas/calor</t>
  </si>
  <si>
    <t xml:space="preserve">Pausas de recuperação implementadas</t>
  </si>
  <si>
    <t xml:space="preserve">Mobiliário e postos de trabalho</t>
  </si>
  <si>
    <t xml:space="preserve">Escritório de obra: cadeiras, monitores, apoios</t>
  </si>
  <si>
    <t xml:space="preserve">AET/avaliação ergonômica</t>
  </si>
  <si>
    <t xml:space="preserve">Avaliação ergonômica preliminar realizada</t>
  </si>
  <si>
    <t xml:space="preserve">Ferramentas adequadas à tarefa</t>
  </si>
  <si>
    <t xml:space="preserve">Reduzem esforço e vibração</t>
  </si>
  <si>
    <t xml:space="preserve">ST-12</t>
  </si>
  <si>
    <t xml:space="preserve">NR-20 – Inflamáveis e Combustíveis</t>
  </si>
  <si>
    <t xml:space="preserve">Armazenamento adequado de combustíveis</t>
  </si>
  <si>
    <t xml:space="preserve">Área específica, ventilada, afastada de ignição</t>
  </si>
  <si>
    <t xml:space="preserve">Bacia de contenção em tanques</t>
  </si>
  <si>
    <t xml:space="preserve">Volume compatível, sem trincas</t>
  </si>
  <si>
    <t xml:space="preserve">Abastecimento seguro</t>
  </si>
  <si>
    <t xml:space="preserve">Motor desligado, aterramento, kit contenção próximo</t>
  </si>
  <si>
    <t xml:space="preserve">Cilindros de GLP/gases inflamáveis</t>
  </si>
  <si>
    <t xml:space="preserve">Em pé, presos, separados de oxidantes, sombra</t>
  </si>
  <si>
    <t xml:space="preserve">Extintores na área de inflamáveis</t>
  </si>
  <si>
    <t xml:space="preserve">Tipo e quantidade adequados</t>
  </si>
  <si>
    <t xml:space="preserve">Proibição de fontes de ignição</t>
  </si>
  <si>
    <t xml:space="preserve">Placas 'Proibido Fumar', permissão para trabalho a quente</t>
  </si>
  <si>
    <t xml:space="preserve">Trabalhadores capacitados NR-20</t>
  </si>
  <si>
    <t xml:space="preserve">Curso compatível com a classe da instalação</t>
  </si>
  <si>
    <t xml:space="preserve">FISPQ dos produtos disponíveis</t>
  </si>
  <si>
    <t xml:space="preserve">Acessíveis no local de armazenamento</t>
  </si>
  <si>
    <t xml:space="preserve">ST-13</t>
  </si>
  <si>
    <t xml:space="preserve">Trabalho a Quente (solda, corte, esmerilhamento)</t>
  </si>
  <si>
    <t xml:space="preserve">PT para trabalho a quente</t>
  </si>
  <si>
    <t xml:space="preserve">Emitida com análise da área (raio de 10 m livre de combustíveis)</t>
  </si>
  <si>
    <t xml:space="preserve">Anteparo/biombo de proteção</t>
  </si>
  <si>
    <t xml:space="preserve">Contenção de fagulhas e radiação</t>
  </si>
  <si>
    <t xml:space="preserve">Extintor no ponto de trabalho</t>
  </si>
  <si>
    <t xml:space="preserve">Observador de fogo quando exigido</t>
  </si>
  <si>
    <t xml:space="preserve">Cilindros com válvula corta-chama</t>
  </si>
  <si>
    <t xml:space="preserve">Dispositivos anti-retrocesso em maçarico e reguladores</t>
  </si>
  <si>
    <t xml:space="preserve">Mangueiras e conexões íntegras</t>
  </si>
  <si>
    <t xml:space="preserve">Sem vazamentos (teste), abraçadeiras adequadas</t>
  </si>
  <si>
    <t xml:space="preserve">EPI específico de soldador</t>
  </si>
  <si>
    <t xml:space="preserve">Máscara de solda, avental, mangotes, perneiras</t>
  </si>
  <si>
    <t xml:space="preserve">Ventilação/exaustão de fumos</t>
  </si>
  <si>
    <t xml:space="preserve">Natural ou forçada conforme local</t>
  </si>
  <si>
    <t xml:space="preserve">Vigilância pós-serviço</t>
  </si>
  <si>
    <t xml:space="preserve">Área monitorada após término (mín. 30 min)</t>
  </si>
  <si>
    <t xml:space="preserve">ST-14</t>
  </si>
  <si>
    <t xml:space="preserve">Escavações e Fundações (NR-18)</t>
  </si>
  <si>
    <t xml:space="preserve">Talude ou escoramento adequado</t>
  </si>
  <si>
    <t xml:space="preserve">Conforme profundidade e tipo de solo</t>
  </si>
  <si>
    <t xml:space="preserve">Sondagem/interferências verificadas</t>
  </si>
  <si>
    <t xml:space="preserve">Redes elétricas, água, gás e drenagem mapeadas</t>
  </si>
  <si>
    <t xml:space="preserve">Escadas de acesso a cada 15 m</t>
  </si>
  <si>
    <t xml:space="preserve">Saída rápida garantida em valas &gt; 1,25 m</t>
  </si>
  <si>
    <t xml:space="preserve">Material a ≥ 1 m da borda</t>
  </si>
  <si>
    <t xml:space="preserve">Solo escavado e materiais afastados</t>
  </si>
  <si>
    <t xml:space="preserve">Sinalização e barreira física</t>
  </si>
  <si>
    <t xml:space="preserve">Guarda-corpo/tela em todo o perímetro</t>
  </si>
  <si>
    <t xml:space="preserve">Água acumulada controlada</t>
  </si>
  <si>
    <t xml:space="preserve">Bombeamento e estabilidade verificada</t>
  </si>
  <si>
    <t xml:space="preserve">Inspeção diária da escavação</t>
  </si>
  <si>
    <t xml:space="preserve">Após chuva ou vibração, reavaliação do talude</t>
  </si>
  <si>
    <t xml:space="preserve">Máquinas afastadas da borda</t>
  </si>
  <si>
    <t xml:space="preserve">Distância segura de equipamentos pesados</t>
  </si>
  <si>
    <t xml:space="preserve">MA-01</t>
  </si>
  <si>
    <t xml:space="preserve">Meio Ambiente</t>
  </si>
  <si>
    <t xml:space="preserve">Gestão de Resíduos</t>
  </si>
  <si>
    <t xml:space="preserve">Separação por classe</t>
  </si>
  <si>
    <t xml:space="preserve">Coleta seletiva implantada (cores CONAMA)</t>
  </si>
  <si>
    <t xml:space="preserve">Coletores/baias identificados</t>
  </si>
  <si>
    <t xml:space="preserve">Placas por tipo de resíduo</t>
  </si>
  <si>
    <t xml:space="preserve">Bombonas e tambores íntegros</t>
  </si>
  <si>
    <t xml:space="preserve">Sem vazamentos, tampados, identificados</t>
  </si>
  <si>
    <t xml:space="preserve">Área de resíduos perigosos (Classe I)</t>
  </si>
  <si>
    <t xml:space="preserve">Piso impermeável, cobertura, contenção</t>
  </si>
  <si>
    <t xml:space="preserve">MTR/Manifesto de transporte</t>
  </si>
  <si>
    <t xml:space="preserve">Emitido para toda destinação</t>
  </si>
  <si>
    <t xml:space="preserve">Destinação final licenciada</t>
  </si>
  <si>
    <t xml:space="preserve">CDF/comprovantes arquivados</t>
  </si>
  <si>
    <t xml:space="preserve">Inventário de resíduos atualizado</t>
  </si>
  <si>
    <t xml:space="preserve">Controle de volumes gerados/destinados</t>
  </si>
  <si>
    <t xml:space="preserve">MA-02</t>
  </si>
  <si>
    <t xml:space="preserve">Solo e Contaminação</t>
  </si>
  <si>
    <t xml:space="preserve">Ausência de derramamento de óleo</t>
  </si>
  <si>
    <t xml:space="preserve">Sem manchas em solo ou pátios</t>
  </si>
  <si>
    <t xml:space="preserve">Contenção em equipamentos estáticos</t>
  </si>
  <si>
    <t xml:space="preserve">Bandejas sob geradores, compressores, bombas</t>
  </si>
  <si>
    <t xml:space="preserve">Bacias de contenção íntegras</t>
  </si>
  <si>
    <t xml:space="preserve">Sem trincas, drenos fechados</t>
  </si>
  <si>
    <t xml:space="preserve">Kit de emergência ambiental</t>
  </si>
  <si>
    <t xml:space="preserve">Absorventes, mantas, cordões disponíveis nas frentes</t>
  </si>
  <si>
    <t xml:space="preserve">Área de manutenção protegida</t>
  </si>
  <si>
    <t xml:space="preserve">Piso impermeável ou lona nas trocas de óleo em campo</t>
  </si>
  <si>
    <t xml:space="preserve">MA-03</t>
  </si>
  <si>
    <t xml:space="preserve">Recursos Hídricos e Drenagem</t>
  </si>
  <si>
    <t xml:space="preserve">Drenagem provisória funcional</t>
  </si>
  <si>
    <t xml:space="preserve">Direcionamento sem carrear sedimentos</t>
  </si>
  <si>
    <t xml:space="preserve">Controle de erosão</t>
  </si>
  <si>
    <t xml:space="preserve">Proteção de taludes, dissipadores, revegetação</t>
  </si>
  <si>
    <t xml:space="preserve">Barreiras de sedimentação</t>
  </si>
  <si>
    <t xml:space="preserve">Barreiras de siltagem em corpos hídricos próximos</t>
  </si>
  <si>
    <t xml:space="preserve">Sem lançamento irregular</t>
  </si>
  <si>
    <t xml:space="preserve">Efluentes não lançados em solo/corpos d'água</t>
  </si>
  <si>
    <t xml:space="preserve">Caixas separadoras água-óleo</t>
  </si>
  <si>
    <t xml:space="preserve">Limpeza e funcionamento (lavagem/abastecimento)</t>
  </si>
  <si>
    <t xml:space="preserve">MA-04</t>
  </si>
  <si>
    <t xml:space="preserve">Flora, Fauna e Emissões</t>
  </si>
  <si>
    <t xml:space="preserve">Supressão vegetal autorizada</t>
  </si>
  <si>
    <t xml:space="preserve">Somente na área licenciada (ASV)</t>
  </si>
  <si>
    <t xml:space="preserve">Proteção de APP</t>
  </si>
  <si>
    <t xml:space="preserve">Áreas de preservação delimitadas e respeitadas</t>
  </si>
  <si>
    <t xml:space="preserve">Controle de poeira</t>
  </si>
  <si>
    <t xml:space="preserve">Umectação de vias, controle de velocidade</t>
  </si>
  <si>
    <t xml:space="preserve">Fumaça preta de equipamentos</t>
  </si>
  <si>
    <t xml:space="preserve">Escala de Ringelmann, manutenção de motores</t>
  </si>
  <si>
    <t xml:space="preserve">Ruído controlado</t>
  </si>
  <si>
    <t xml:space="preserve">Horários e limites respeitados</t>
  </si>
  <si>
    <t xml:space="preserve">Fauna: registro e afugentamento</t>
  </si>
  <si>
    <t xml:space="preserve">Procedimento para animais silvestres/peçonhentos</t>
  </si>
  <si>
    <t xml:space="preserve">Condicionantes da licença atendidas</t>
  </si>
  <si>
    <t xml:space="preserve">Checklist das condicionantes ambientais em dia</t>
  </si>
  <si>
    <t xml:space="preserve">QA-01</t>
  </si>
  <si>
    <t xml:space="preserve">Qualidade</t>
  </si>
  <si>
    <t xml:space="preserve">Materiais e Rastreabilidade</t>
  </si>
  <si>
    <t xml:space="preserve">Inspeção de recebimento</t>
  </si>
  <si>
    <t xml:space="preserve">Materiais conferidos contra pedido/especificação</t>
  </si>
  <si>
    <t xml:space="preserve">Certificados de materiais</t>
  </si>
  <si>
    <t xml:space="preserve">Certificados de qualidade/ensaios arquivados</t>
  </si>
  <si>
    <t xml:space="preserve">Armazenamento conforme fabricante</t>
  </si>
  <si>
    <t xml:space="preserve">Proteção contra intempéries, prazo de validade</t>
  </si>
  <si>
    <t xml:space="preserve">Rastreabilidade garantida</t>
  </si>
  <si>
    <t xml:space="preserve">Lotes identificados e vinculados às frentes</t>
  </si>
  <si>
    <t xml:space="preserve">Identificação de status</t>
  </si>
  <si>
    <t xml:space="preserve">Aprovado / em análise / reprovado segregado</t>
  </si>
  <si>
    <t xml:space="preserve">QA-02</t>
  </si>
  <si>
    <t xml:space="preserve">Execução e Controle</t>
  </si>
  <si>
    <t xml:space="preserve">Projeto disponível na frente</t>
  </si>
  <si>
    <t xml:space="preserve">Última revisão, 'válido para construção'</t>
  </si>
  <si>
    <t xml:space="preserve">Revisão de projeto correta</t>
  </si>
  <si>
    <t xml:space="preserve">Sem uso de revisões obsoletas</t>
  </si>
  <si>
    <t xml:space="preserve">Equipamento/instalação conforme projeto</t>
  </si>
  <si>
    <t xml:space="preserve">Verificação física × documento</t>
  </si>
  <si>
    <t xml:space="preserve">Controle dimensional realizado</t>
  </si>
  <si>
    <t xml:space="preserve">Topografia e medições registradas</t>
  </si>
  <si>
    <t xml:space="preserve">Ensaios e testes realizados</t>
  </si>
  <si>
    <t xml:space="preserve">Compactação, concreto, torque, megger, conforme PIT/ITP</t>
  </si>
  <si>
    <t xml:space="preserve">Instrumentos calibrados</t>
  </si>
  <si>
    <t xml:space="preserve">Certificados de calibração válidos</t>
  </si>
  <si>
    <t xml:space="preserve">RNC abertas e tratadas</t>
  </si>
  <si>
    <t xml:space="preserve">Não conformidades registradas com disposição</t>
  </si>
  <si>
    <t xml:space="preserve">Retrabalho registrado</t>
  </si>
  <si>
    <t xml:space="preserve">Causa e custo apontados</t>
  </si>
  <si>
    <t xml:space="preserve">RDO atualizado</t>
  </si>
  <si>
    <t xml:space="preserve">Diário de obra preenchido diariamente</t>
  </si>
  <si>
    <t xml:space="preserve">Data book / as built em dia</t>
  </si>
  <si>
    <t xml:space="preserve">Documentação sendo consolidada durante a obra</t>
  </si>
  <si>
    <t xml:space="preserve">EQ-01</t>
  </si>
  <si>
    <t xml:space="preserve">Equipamentos</t>
  </si>
  <si>
    <t xml:space="preserve">Máquinas, Equipamentos e Ferramentas</t>
  </si>
  <si>
    <t xml:space="preserve">Checklist diário pré-uso</t>
  </si>
  <si>
    <t xml:space="preserve">Preenchido pelo operador antes do turno</t>
  </si>
  <si>
    <t xml:space="preserve">Lubrificação em dia</t>
  </si>
  <si>
    <t xml:space="preserve">Plano de lubrificação seguido</t>
  </si>
  <si>
    <t xml:space="preserve">Hidráulico, óleo, combustível</t>
  </si>
  <si>
    <t xml:space="preserve">Documentação do equipamento</t>
  </si>
  <si>
    <t xml:space="preserve">Manual, laudos, ART de içamento quando aplicável</t>
  </si>
  <si>
    <t xml:space="preserve">Manutenção preventiva em dia</t>
  </si>
  <si>
    <t xml:space="preserve">Plano × horímetro</t>
  </si>
  <si>
    <t xml:space="preserve">Horímetro registrado</t>
  </si>
  <si>
    <t xml:space="preserve">Controle de horas trabalhadas/paradas</t>
  </si>
  <si>
    <t xml:space="preserve">Sinalização e alarme de ré</t>
  </si>
  <si>
    <t xml:space="preserve">Funcionais em máquinas móveis</t>
  </si>
  <si>
    <t xml:space="preserve">Extintor embarcado</t>
  </si>
  <si>
    <t xml:space="preserve">Carga válida e fixado</t>
  </si>
  <si>
    <t xml:space="preserve">Cinto de segurança em uso</t>
  </si>
  <si>
    <t xml:space="preserve">Operadores de máquinas móveis</t>
  </si>
  <si>
    <t xml:space="preserve">Iluminação e faróis</t>
  </si>
  <si>
    <t xml:space="preserve">Funcionais para trabalho noturno</t>
  </si>
  <si>
    <t xml:space="preserve">Ferramentas elétricas íntegras</t>
  </si>
  <si>
    <t xml:space="preserve">Carcaça, cabo e plugue sem danos</t>
  </si>
  <si>
    <t xml:space="preserve">DC-01</t>
  </si>
  <si>
    <t xml:space="preserve">Documentação</t>
  </si>
  <si>
    <t xml:space="preserve">Documentação Legal e de SSMA</t>
  </si>
  <si>
    <t xml:space="preserve">ASO válido de todo o efetivo</t>
  </si>
  <si>
    <t xml:space="preserve">Admissional/periódico dentro da validade</t>
  </si>
  <si>
    <t xml:space="preserve">Certificados de treinamento</t>
  </si>
  <si>
    <t xml:space="preserve">NR-10, NR-33, NR-35, NR-12, NR-18, NR-20 conforme função</t>
  </si>
  <si>
    <t xml:space="preserve">Integração de segurança realizada</t>
  </si>
  <si>
    <t xml:space="preserve">Registro de todos antes do 1º dia em campo</t>
  </si>
  <si>
    <t xml:space="preserve">FISPQ dos produtos em uso</t>
  </si>
  <si>
    <t xml:space="preserve">Disponíveis e conhecidas pelas equipes</t>
  </si>
  <si>
    <t xml:space="preserve">APRs e PTs arquivadas</t>
  </si>
  <si>
    <t xml:space="preserve">Rastreáveis por frente e data</t>
  </si>
  <si>
    <t xml:space="preserve">PGR e PCMSO vigentes</t>
  </si>
  <si>
    <t xml:space="preserve">Documentos-base atualizados e coerentes entre si</t>
  </si>
  <si>
    <t xml:space="preserve">Licenças e alvarás</t>
  </si>
  <si>
    <t xml:space="preserve">LI/LO, alvará da obra, licenças específicas</t>
  </si>
  <si>
    <t xml:space="preserve">Certificados de equipamentos</t>
  </si>
  <si>
    <t xml:space="preserve">Laudos de guindaste, andaime, vasos de pressão</t>
  </si>
  <si>
    <t xml:space="preserve">Certificados de calibração</t>
  </si>
  <si>
    <t xml:space="preserve">Detectores de gás, instrumentos de medição</t>
  </si>
  <si>
    <t xml:space="preserve">ARTs emitidas</t>
  </si>
  <si>
    <t xml:space="preserve">Execução, fiscalização e projetos com ART recolhida</t>
  </si>
  <si>
    <t xml:space="preserve">eSocial/SST em dia</t>
  </si>
  <si>
    <t xml:space="preserve">Eventos S-2210/2220/2240 sendo enviados</t>
  </si>
  <si>
    <t xml:space="preserve">VE-01</t>
  </si>
  <si>
    <t xml:space="preserve">Veículos</t>
  </si>
  <si>
    <t xml:space="preserve">Veículos Leves e de Transporte</t>
  </si>
  <si>
    <t xml:space="preserve">CNH válida e compatível</t>
  </si>
  <si>
    <t xml:space="preserve">Categoria correta, motorista autorizado</t>
  </si>
  <si>
    <t xml:space="preserve">Checklist diário do veículo</t>
  </si>
  <si>
    <t xml:space="preserve">Preenchido antes da saída</t>
  </si>
  <si>
    <t xml:space="preserve">Pneus em bom estado</t>
  </si>
  <si>
    <t xml:space="preserve">Sulco, pressão, estepe</t>
  </si>
  <si>
    <t xml:space="preserve">Freios funcionais</t>
  </si>
  <si>
    <t xml:space="preserve">Sem ruídos/folgas anormais</t>
  </si>
  <si>
    <t xml:space="preserve">Faróis, setas e lanternas</t>
  </si>
  <si>
    <t xml:space="preserve">Todos funcionais</t>
  </si>
  <si>
    <t xml:space="preserve">Itens obrigatórios</t>
  </si>
  <si>
    <t xml:space="preserve">Extintor (quando aplicável), macaco, triângulo, chave de roda</t>
  </si>
  <si>
    <t xml:space="preserve">Tacógrafo/telemetria</t>
  </si>
  <si>
    <t xml:space="preserve">Funcionais quando exigidos</t>
  </si>
  <si>
    <t xml:space="preserve">Limpeza e conservação</t>
  </si>
  <si>
    <t xml:space="preserve">Interior e carroceria</t>
  </si>
  <si>
    <t xml:space="preserve">Cinto de segurança para todos</t>
  </si>
  <si>
    <t xml:space="preserve">Uso obrigatório, bancos íntegros</t>
  </si>
  <si>
    <t xml:space="preserve">Transporte de trabalhadores regular</t>
  </si>
  <si>
    <t xml:space="preserve">Veículo apropriado, jamais em carroceria</t>
  </si>
  <si>
    <t xml:space="preserve">SO-01</t>
  </si>
  <si>
    <t xml:space="preserve">Saúde Ocupacional</t>
  </si>
  <si>
    <t xml:space="preserve">Saúde e Condições de Trabalho</t>
  </si>
  <si>
    <t xml:space="preserve">Água potável em todas as frentes</t>
  </si>
  <si>
    <t xml:space="preserve">Fresca e acessível, copos individuais/garrafas</t>
  </si>
  <si>
    <t xml:space="preserve">Refeitório em condições higiênicas</t>
  </si>
  <si>
    <t xml:space="preserve">Conservação de alimentos, limpeza</t>
  </si>
  <si>
    <t xml:space="preserve">Sanitários limpos e abastecidos</t>
  </si>
  <si>
    <t xml:space="preserve">Higienização diária registrada</t>
  </si>
  <si>
    <t xml:space="preserve">Gestão de calor/hidratação</t>
  </si>
  <si>
    <t xml:space="preserve">Pausas, sombra e hidratação em dias quentes (NR-21/anexo calor)</t>
  </si>
  <si>
    <t xml:space="preserve">Ergonomia nas atividades</t>
  </si>
  <si>
    <t xml:space="preserve">Rodízio em tarefas repetitivas/pesadas</t>
  </si>
  <si>
    <t xml:space="preserve">Materiais de primeiros socorros</t>
  </si>
  <si>
    <t xml:space="preserve">Kit completo e válido, pessoa treinada por turno</t>
  </si>
  <si>
    <t xml:space="preserve">Controle de insetos e vetores</t>
  </si>
  <si>
    <t xml:space="preserve">Sem focos de água parada, dedetização</t>
  </si>
  <si>
    <t xml:space="preserve">Procedimento p/ animais peçonhentos</t>
  </si>
  <si>
    <t xml:space="preserve">Orientação, soro/rota ao hospital de referência mapeada</t>
  </si>
  <si>
    <t xml:space="preserve">Vacinação do efetivo</t>
  </si>
  <si>
    <t xml:space="preserve">Antitetânica e campanhas em dia</t>
  </si>
  <si>
    <t xml:space="preserve">Áreas de vivência (NR-24)</t>
  </si>
  <si>
    <t xml:space="preserve">Alojamento (se houver): camas, ventilação, limpeza</t>
  </si>
  <si>
    <t xml:space="preserve">EM-01</t>
  </si>
  <si>
    <t xml:space="preserve">Emergência</t>
  </si>
  <si>
    <t xml:space="preserve">Preparação e Resposta a Emergências</t>
  </si>
  <si>
    <t xml:space="preserve">Plano de emergência disponível</t>
  </si>
  <si>
    <t xml:space="preserve">Atualizado, com cenários da obra</t>
  </si>
  <si>
    <t xml:space="preserve">Brigada de emergência formada</t>
  </si>
  <si>
    <t xml:space="preserve">Brigadistas treinados e identificados</t>
  </si>
  <si>
    <t xml:space="preserve">Simulado realizado no período</t>
  </si>
  <si>
    <t xml:space="preserve">Registro com avaliação e lições aprendidas</t>
  </si>
  <si>
    <t xml:space="preserve">Extintores inspecionados</t>
  </si>
  <si>
    <t xml:space="preserve">Lacre, carga, pressão, acesso livre, inspeção mensal registrada</t>
  </si>
  <si>
    <t xml:space="preserve">Hidrantes/reserva de incêndio</t>
  </si>
  <si>
    <t xml:space="preserve">Quando existentes, funcionais</t>
  </si>
  <si>
    <t xml:space="preserve">Maca e imobilizadores</t>
  </si>
  <si>
    <t xml:space="preserve">Disponíveis e em bom estado</t>
  </si>
  <si>
    <t xml:space="preserve">Kit de primeiros socorros completo</t>
  </si>
  <si>
    <t xml:space="preserve">Itens dentro da validade</t>
  </si>
  <si>
    <t xml:space="preserve">Lista de contatos de emergência</t>
  </si>
  <si>
    <t xml:space="preserve">Afixada e atualizada (SAMU, bombeiros, hospital)</t>
  </si>
  <si>
    <t xml:space="preserve">Ambulância/veículo de emergência</t>
  </si>
  <si>
    <t xml:space="preserve">Disponível conforme contrato/efetivo, tempo-resposta definido</t>
  </si>
  <si>
    <t xml:space="preserve">Ponto de encontro sinalizado</t>
  </si>
  <si>
    <t xml:space="preserve">Conhecido por todos</t>
  </si>
  <si>
    <t xml:space="preserve">Rota até hospital de referência</t>
  </si>
  <si>
    <t xml:space="preserve">Mapeada e testada</t>
  </si>
  <si>
    <t xml:space="preserve">CT-01</t>
  </si>
  <si>
    <t xml:space="preserve">Contratadas</t>
  </si>
  <si>
    <t xml:space="preserve">Gestão de Subcontratadas</t>
  </si>
  <si>
    <t xml:space="preserve">Documentação legal em dia</t>
  </si>
  <si>
    <t xml:space="preserve">Contrato, CNDs, seguros, FGTS/INSS</t>
  </si>
  <si>
    <t xml:space="preserve">Integração de 100% do efetivo</t>
  </si>
  <si>
    <t xml:space="preserve">Registro antes do início das atividades</t>
  </si>
  <si>
    <t xml:space="preserve">Seguro de vida/acidentes</t>
  </si>
  <si>
    <t xml:space="preserve">Apólice vigente</t>
  </si>
  <si>
    <t xml:space="preserve">Treinamentos das equipes</t>
  </si>
  <si>
    <t xml:space="preserve">Certificados válidos por função</t>
  </si>
  <si>
    <t xml:space="preserve">Efetivo registrado e identificado</t>
  </si>
  <si>
    <t xml:space="preserve">Lista de presença × registro em CTPS/e-Social</t>
  </si>
  <si>
    <t xml:space="preserve">Responsável técnico presente</t>
  </si>
  <si>
    <t xml:space="preserve">RT/encarregado identificado com ART</t>
  </si>
  <si>
    <t xml:space="preserve">APRs próprias adequadas</t>
  </si>
  <si>
    <t xml:space="preserve">Alinhadas ao padrão da contratante</t>
  </si>
  <si>
    <t xml:space="preserve">Indicadores de SSMA reportados</t>
  </si>
  <si>
    <t xml:space="preserve">HHT, incidentes e desvios informados mensalmente</t>
  </si>
  <si>
    <t xml:space="preserve">Plano de ação de desvios</t>
  </si>
  <si>
    <t xml:space="preserve">Tratativas das NCs anteriores concluídas</t>
  </si>
  <si>
    <t xml:space="preserve">PR-01</t>
  </si>
  <si>
    <t xml:space="preserve">Produção</t>
  </si>
  <si>
    <t xml:space="preserve">Andamento Físico da Obra</t>
  </si>
  <si>
    <t xml:space="preserve">Cronograma atualizado</t>
  </si>
  <si>
    <t xml:space="preserve">Avanço físico real × planejado registrado</t>
  </si>
  <si>
    <t xml:space="preserve">Frentes de serviço liberadas</t>
  </si>
  <si>
    <t xml:space="preserve">Sem bloqueios documentais/técnicos</t>
  </si>
  <si>
    <t xml:space="preserve">Materiais disponíveis</t>
  </si>
  <si>
    <t xml:space="preserve">Sem paradas por falta de material</t>
  </si>
  <si>
    <t xml:space="preserve">Equipamentos disponíveis</t>
  </si>
  <si>
    <t xml:space="preserve">Disponibilidade compatível com o plano</t>
  </si>
  <si>
    <t xml:space="preserve">Projetos atualizados nas frentes</t>
  </si>
  <si>
    <t xml:space="preserve">Última revisão distribuída</t>
  </si>
  <si>
    <t xml:space="preserve">Interferências tratadas</t>
  </si>
  <si>
    <t xml:space="preserve">Registro e plano de solução</t>
  </si>
  <si>
    <t xml:space="preserve">Pendências mapeadas</t>
  </si>
  <si>
    <t xml:space="preserve">Lista de pendências com responsável e prazo</t>
  </si>
  <si>
    <t xml:space="preserve">Produtividade registrada</t>
  </si>
  <si>
    <t xml:space="preserve">Índices por equipe/atividade apontados no RDO</t>
  </si>
  <si>
    <t xml:space="preserve">Efetivo compatível com o plano</t>
  </si>
  <si>
    <t xml:space="preserve">Histograma real × previsto</t>
  </si>
  <si>
    <t xml:space="preserve">Inspeção</t>
  </si>
  <si>
    <t xml:space="preserve">Frequência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</si>
  <si>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</si>
  <si>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</si>
  <si>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</si>
  <si>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</si>
  <si>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</si>
  <si>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</si>
  <si>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Duração Estimada</t>
  </si>
  <si>
    <t xml:space="preserve">Responsável Sugerido</t>
  </si>
  <si>
    <t xml:space="preserve">NR-01 APR/PT/DDS (ronda de campo)</t>
  </si>
  <si>
    <t xml:space="preserve">Diária</t>
  </si>
  <si>
    <t xml:space="preserve">X</t>
  </si>
  <si>
    <t xml:space="preserve">30 min</t>
  </si>
  <si>
    <t xml:space="preserve">Téc. Segurança</t>
  </si>
  <si>
    <t xml:space="preserve">Ordem e Limpeza (ronda)</t>
  </si>
  <si>
    <t xml:space="preserve">20 min</t>
  </si>
  <si>
    <t xml:space="preserve">Encarregado / Téc. Segurança</t>
  </si>
  <si>
    <t xml:space="preserve">NR-18 Canteiro de Obras (completo)</t>
  </si>
  <si>
    <t xml:space="preserve">Semanal</t>
  </si>
  <si>
    <t xml:space="preserve">1h30</t>
  </si>
  <si>
    <t xml:space="preserve">Téc. Segurança + Fiscal</t>
  </si>
  <si>
    <t xml:space="preserve">45 min</t>
  </si>
  <si>
    <t xml:space="preserve">Adm. / Téc. Segurança</t>
  </si>
  <si>
    <t xml:space="preserve">NR-06 EPI (inspeção formal)</t>
  </si>
  <si>
    <t xml:space="preserve">NR-35 Trabalho em Altura</t>
  </si>
  <si>
    <t xml:space="preserve">1h</t>
  </si>
  <si>
    <t xml:space="preserve">NR-10 Elétrica</t>
  </si>
  <si>
    <t xml:space="preserve">Fiscal Elétrica</t>
  </si>
  <si>
    <t xml:space="preserve">Resíduos</t>
  </si>
  <si>
    <t xml:space="preserve">Analista Ambiental</t>
  </si>
  <si>
    <t xml:space="preserve">Qualidade – Materiais</t>
  </si>
  <si>
    <t xml:space="preserve">Fiscal Qualidade</t>
  </si>
  <si>
    <t xml:space="preserve">Qualidade – Execução</t>
  </si>
  <si>
    <t xml:space="preserve">Fiscal Mecânica</t>
  </si>
  <si>
    <t xml:space="preserve">NR-12 Máquinas</t>
  </si>
  <si>
    <t xml:space="preserve">NR-11 Içamento</t>
  </si>
  <si>
    <t xml:space="preserve">Fiscal + Téc. Segurança</t>
  </si>
  <si>
    <t xml:space="preserve">Fiscal de Contrato</t>
  </si>
  <si>
    <t xml:space="preserve">NR-26 Sinalização</t>
  </si>
  <si>
    <t xml:space="preserve">Quinzenal</t>
  </si>
  <si>
    <t xml:space="preserve">NR-17 Ergonomia</t>
  </si>
  <si>
    <t xml:space="preserve">Mensal</t>
  </si>
  <si>
    <t xml:space="preserve">NR-20 Inflamáveis</t>
  </si>
  <si>
    <t xml:space="preserve">Téc. Segurança / Enfermagem</t>
  </si>
  <si>
    <t xml:space="preserve">Téc. Segurança + Brigada</t>
  </si>
  <si>
    <t xml:space="preserve">2h</t>
  </si>
  <si>
    <t xml:space="preserve">Adm. Contrato + Segurança</t>
  </si>
  <si>
    <t xml:space="preserve">NR-33 Espaço Confinado</t>
  </si>
  <si>
    <t xml:space="preserve">Por evento</t>
  </si>
  <si>
    <t xml:space="preserve">—</t>
  </si>
  <si>
    <t xml:space="preserve">antes de cada entrada</t>
  </si>
  <si>
    <t xml:space="preserve">Supervisor de Entrada</t>
  </si>
  <si>
    <t xml:space="preserve">Trabalho a Quente</t>
  </si>
  <si>
    <t xml:space="preserve">antes de cada PT</t>
  </si>
  <si>
    <t xml:space="preserve">Escavações</t>
  </si>
  <si>
    <t xml:space="preserve">Por evento + diária c/ frente ativa</t>
  </si>
  <si>
    <t xml:space="preserve">Fiscal Civil</t>
  </si>
  <si>
    <t xml:space="preserve">Notas:</t>
  </si>
  <si>
    <t xml:space="preserve">•</t>
  </si>
  <si>
    <t xml:space="preserve">Inspeções diárias (ST-01 e ST-10) são rondas rápidas; o registro pode ser simplificado (só desvios).</t>
  </si>
  <si>
    <t xml:space="preserve">Inspeções 'Por evento' (NR-33, Trabalho a Quente, Escavações) são executadas na emissão da PT / abertura da frente, além de reavaliação diária enquanto a frente estiver ativa.</t>
  </si>
  <si>
    <t xml:space="preserve">Quinzenais: alternar semanas A e B. Mensais: fixar na 1ª semana do mês para consolidar KPIs até o dia 5.</t>
  </si>
  <si>
    <t xml:space="preserve">Sábado: aplicar apenas as rondas diárias se houver trabalho programado.</t>
  </si>
  <si>
    <t xml:space="preserve">Categoria</t>
  </si>
  <si>
    <t xml:space="preserve">Indicador</t>
  </si>
  <si>
    <t xml:space="preserve">Fórmula / Regra de Cálculo</t>
  </si>
  <si>
    <t xml:space="preserve">Fonte de Dados</t>
  </si>
  <si>
    <t xml:space="preserve">Meta Sugerida</t>
  </si>
  <si>
    <t xml:space="preserve">Segurança</t>
  </si>
  <si>
    <t xml:space="preserve">HHT (Homem-Hora Trabalhada)</t>
  </si>
  <si>
    <t xml:space="preserve">Σ horas trabalhadas de todo o efetivo (próprio + contratadas)</t>
  </si>
  <si>
    <t xml:space="preserve">Folha de ponto / efetivo</t>
  </si>
  <si>
    <t xml:space="preserve">Taxa de Frequência (TF)</t>
  </si>
  <si>
    <t xml:space="preserve">(Nº acidentes c/ afastamento × 1.000.000) ÷ HHT</t>
  </si>
  <si>
    <t xml:space="preserve">CATs + HHT</t>
  </si>
  <si>
    <t xml:space="preserve">&lt; 5</t>
  </si>
  <si>
    <t xml:space="preserve">Taxa de Gravidade (TG)</t>
  </si>
  <si>
    <t xml:space="preserve">(Dias perdidos + debitados × 1.000.000) ÷ HHT</t>
  </si>
  <si>
    <t xml:space="preserve">&lt; 100</t>
  </si>
  <si>
    <t xml:space="preserve">% Conformidade Geral</t>
  </si>
  <si>
    <t xml:space="preserve">Itens Conformes ÷ (Conformes + Não Conformes) × 100</t>
  </si>
  <si>
    <t xml:space="preserve">Formulários de inspeção</t>
  </si>
  <si>
    <t xml:space="preserve">≥ 95%</t>
  </si>
  <si>
    <t xml:space="preserve">Nº de Não Conformidades</t>
  </si>
  <si>
    <t xml:space="preserve">Contagem de respostas 'Não Conforme'</t>
  </si>
  <si>
    <t xml:space="preserve">Tendência ↓</t>
  </si>
  <si>
    <t xml:space="preserve">Nº de Condições Inseguras</t>
  </si>
  <si>
    <t xml:space="preserve">Registros classificados como condição</t>
  </si>
  <si>
    <t xml:space="preserve">Inspeções + relatos</t>
  </si>
  <si>
    <t xml:space="preserve">Nº de Atos Inseguros</t>
  </si>
  <si>
    <t xml:space="preserve">Registros classificados como ato</t>
  </si>
  <si>
    <t xml:space="preserve">Inspeções + observações</t>
  </si>
  <si>
    <t xml:space="preserve">Nº de Quase Acidentes</t>
  </si>
  <si>
    <t xml:space="preserve">Relatos de near miss</t>
  </si>
  <si>
    <t xml:space="preserve">Programa de relatos</t>
  </si>
  <si>
    <t xml:space="preserve">Tendência ↑ (relato) </t>
  </si>
  <si>
    <t xml:space="preserve">% Inspeções Realizadas</t>
  </si>
  <si>
    <t xml:space="preserve">Realizadas ÷ Planejadas × 100</t>
  </si>
  <si>
    <t xml:space="preserve">Cronograma × registros</t>
  </si>
  <si>
    <t xml:space="preserve">≥ 90%</t>
  </si>
  <si>
    <t xml:space="preserve">Tempo Médio de Fechamento de NC</t>
  </si>
  <si>
    <t xml:space="preserve">Σ (data fechamento − data abertura) ÷ nº NCs fechadas</t>
  </si>
  <si>
    <t xml:space="preserve">Formulários (Prazo/Status)</t>
  </si>
  <si>
    <t xml:space="preserve">≤ 7 dias</t>
  </si>
  <si>
    <t xml:space="preserve">% Ações Corretivas no Prazo</t>
  </si>
  <si>
    <t xml:space="preserve">Fechadas dentro do prazo ÷ total fechadas × 100</t>
  </si>
  <si>
    <t xml:space="preserve">Desvios por NR</t>
  </si>
  <si>
    <t xml:space="preserve">NCs agrupadas por checklist (código)</t>
  </si>
  <si>
    <t xml:space="preserve">Pareto</t>
  </si>
  <si>
    <t xml:space="preserve">Desvios por Contratada</t>
  </si>
  <si>
    <t xml:space="preserve">NCs agrupadas por empresa responsável</t>
  </si>
  <si>
    <t xml:space="preserve">Ranking</t>
  </si>
  <si>
    <t xml:space="preserve">Desvios por Frente de Serviço</t>
  </si>
  <si>
    <t xml:space="preserve">NCs agrupadas por frente/local</t>
  </si>
  <si>
    <t xml:space="preserve">Heat map</t>
  </si>
  <si>
    <t xml:space="preserve">Índice de Retrabalho</t>
  </si>
  <si>
    <t xml:space="preserve">HH de retrabalho ÷ HH total × 100 (ou custo)</t>
  </si>
  <si>
    <t xml:space="preserve">RDO + apontamentos</t>
  </si>
  <si>
    <t xml:space="preserve">≤ 2%</t>
  </si>
  <si>
    <t xml:space="preserve">NCs por Disciplina</t>
  </si>
  <si>
    <t xml:space="preserve">RNCs agrupadas: civil, elétrica, mecânica</t>
  </si>
  <si>
    <t xml:space="preserve">Registro de RNC</t>
  </si>
  <si>
    <t xml:space="preserve">Taxa de Aprovação em Inspeções</t>
  </si>
  <si>
    <t xml:space="preserve">Inspeções aprovadas 1ª vez ÷ total × 100</t>
  </si>
  <si>
    <t xml:space="preserve">PIT/ITP</t>
  </si>
  <si>
    <t xml:space="preserve">Tempo Médio de Fechamento de RNC</t>
  </si>
  <si>
    <t xml:space="preserve">Σ dias em aberto ÷ RNCs fechadas</t>
  </si>
  <si>
    <t xml:space="preserve">≤ 15 dias</t>
  </si>
  <si>
    <t xml:space="preserve">Pendências por Área</t>
  </si>
  <si>
    <t xml:space="preserve">Punch list por sistema/área</t>
  </si>
  <si>
    <t xml:space="preserve">Lista de pendências</t>
  </si>
  <si>
    <t xml:space="preserve">Incidentes Ambientais</t>
  </si>
  <si>
    <t xml:space="preserve">Contagem de ocorrências (derrame, supressão irregular etc.)</t>
  </si>
  <si>
    <t xml:space="preserve">Registros ambientais</t>
  </si>
  <si>
    <t xml:space="preserve">0</t>
  </si>
  <si>
    <t xml:space="preserve">Resíduos Gerados (t ou m³)</t>
  </si>
  <si>
    <t xml:space="preserve">Σ por classe</t>
  </si>
  <si>
    <t xml:space="preserve">MTRs / inventário</t>
  </si>
  <si>
    <t xml:space="preserve">% Resíduos Reciclados</t>
  </si>
  <si>
    <t xml:space="preserve">Reciclados ÷ gerados × 100</t>
  </si>
  <si>
    <t xml:space="preserve">MTRs / CDFs</t>
  </si>
  <si>
    <t xml:space="preserve">≥ 60%</t>
  </si>
  <si>
    <t xml:space="preserve">Nº de Derramamentos</t>
  </si>
  <si>
    <t xml:space="preserve">Contagem + volume estimado</t>
  </si>
  <si>
    <t xml:space="preserve">Consumo de Água / Energia</t>
  </si>
  <si>
    <t xml:space="preserve">Medições mensais</t>
  </si>
  <si>
    <t xml:space="preserve">Hidrômetro / medidores</t>
  </si>
  <si>
    <t xml:space="preserve">Tendência</t>
  </si>
  <si>
    <t xml:space="preserve">Ocorrências por Frente</t>
  </si>
  <si>
    <t xml:space="preserve">NCs ambientais agrupadas por frente</t>
  </si>
  <si>
    <t xml:space="preserve">Formulários MA</t>
  </si>
  <si>
    <t xml:space="preserve">Aderência ao Cronograma (SPI)</t>
  </si>
  <si>
    <t xml:space="preserve">Avanço físico real ÷ planejado</t>
  </si>
  <si>
    <t xml:space="preserve">Cronograma</t>
  </si>
  <si>
    <t xml:space="preserve">≥ 0,95</t>
  </si>
  <si>
    <t xml:space="preserve">Frentes Liberadas</t>
  </si>
  <si>
    <t xml:space="preserve">Nº de frentes ativas sem bloqueio</t>
  </si>
  <si>
    <t xml:space="preserve">Checklist PR-01</t>
  </si>
  <si>
    <t xml:space="preserve">Produtividade por Equipe</t>
  </si>
  <si>
    <t xml:space="preserve">Quantidade executada ÷ HH da equipe</t>
  </si>
  <si>
    <t xml:space="preserve">RDO</t>
  </si>
  <si>
    <t xml:space="preserve">Por serviço</t>
  </si>
  <si>
    <t xml:space="preserve">Horas Paradas</t>
  </si>
  <si>
    <t xml:space="preserve">Σ horas de parada por causa</t>
  </si>
  <si>
    <t xml:space="preserve">Pareto de causas</t>
  </si>
  <si>
    <t xml:space="preserve">Disponibilidade de Equipamentos</t>
  </si>
  <si>
    <t xml:space="preserve">Horas disponíveis ÷ horas programadas × 100</t>
  </si>
  <si>
    <t xml:space="preserve">Horímetro / EQ-01</t>
  </si>
  <si>
    <t xml:space="preserve">Gestão</t>
  </si>
  <si>
    <t xml:space="preserve">Inspeções Planejadas × Realizadas</t>
  </si>
  <si>
    <t xml:space="preserve">Comparativo por semana e por fiscal</t>
  </si>
  <si>
    <t xml:space="preserve">Inspeções por Fiscal</t>
  </si>
  <si>
    <t xml:space="preserve">Contagem por responsável</t>
  </si>
  <si>
    <t xml:space="preserve">Formulários (Responsável)</t>
  </si>
  <si>
    <t xml:space="preserve">Ranking de Contratadas</t>
  </si>
  <si>
    <t xml:space="preserve">Nota = % conformidade + prazos de fechamento</t>
  </si>
  <si>
    <t xml:space="preserve">Consolidação de NCs</t>
  </si>
  <si>
    <t xml:space="preserve">Ranking de Não Conformidades</t>
  </si>
  <si>
    <t xml:space="preserve">Itens que mais reprovam (por código de item)</t>
  </si>
  <si>
    <t xml:space="preserve">Tendência Mensal de Desvios</t>
  </si>
  <si>
    <t xml:space="preserve">Série histórica de NCs/mês</t>
  </si>
  <si>
    <t xml:space="preserve">Consolidação</t>
  </si>
  <si>
    <t xml:space="preserve">Heat Map de Ocorrências</t>
  </si>
  <si>
    <t xml:space="preserve">NCs × frente × disciplina</t>
  </si>
  <si>
    <t xml:space="preserve">Visual</t>
  </si>
  <si>
    <t xml:space="preserve">Pareto de Causas de NC</t>
  </si>
  <si>
    <t xml:space="preserve">80/20 das causas-raiz</t>
  </si>
  <si>
    <t xml:space="preserve">Análise de causas</t>
  </si>
  <si>
    <t xml:space="preserve">REGISTRO DE EVENTOS – NÃO CONFORMIDADES (preenchido automaticamente a partir da aba Checklists)</t>
  </si>
  <si>
    <t xml:space="preserve">Item</t>
  </si>
  <si>
    <t xml:space="preserve">Evidência</t>
  </si>
  <si>
    <t xml:space="preserve">Prazo</t>
  </si>
  <si>
    <t xml:space="preserve">NCs por Área</t>
  </si>
  <si>
    <t xml:space="preserve">Status das NCs</t>
  </si>
  <si>
    <t xml:space="preserve">NCs</t>
  </si>
  <si>
    <t xml:space="preserve">Qtde</t>
  </si>
  <si>
    <t xml:space="preserve">Em Andamento</t>
  </si>
  <si>
    <t xml:space="preserve">Fechado</t>
  </si>
  <si>
    <t xml:space="preserve">Total de NCs</t>
  </si>
  <si>
    <t xml:space="preserve">NCs c/ Evidência</t>
  </si>
  <si>
    <t xml:space="preserve">% Conformidade por Área</t>
  </si>
  <si>
    <t xml:space="preserve">Conf.</t>
  </si>
  <si>
    <t xml:space="preserve">NC</t>
  </si>
  <si>
    <t xml:space="preserve">% Conform.</t>
  </si>
  <si>
    <t xml:space="preserve">Obs.: as tabelas e os gráficos se atualizam automaticamente conforme as respostas 'Não Conforme' e as evidências forem registradas na aba Checklists.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</si>
</sst>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%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C6E0B4"/>
        <bgColor rgb="FFD9D9D9"/>
      </patternFill>
    </fill>
    <fill>
      <patternFill patternType="solid">
        <fgColor rgb="FF548235"/>
        <bgColor rgb="FF59595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D9D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C6E0B4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1F4E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Não Conformidades por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Eventos!N4</c:f>
              <c:strCache>
                <c:ptCount val="1"/>
                <c:pt idx="0">
                  <c:v>NCs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Eventos!$M$5:$M$14</c:f>
              <c:strCache>
                <c:ptCount val="10"/>
                <c:pt idx="0">
                  <c:v>Segurança do Trabalho</c:v>
                </c:pt>
                <c:pt idx="1">
                  <c:v>Meio Ambiente</c:v>
                </c:pt>
                <c:pt idx="2">
                  <c:v>Qualidade</c:v>
                </c:pt>
                <c:pt idx="3">
                  <c:v>Equipamentos</c:v>
                </c:pt>
                <c:pt idx="4">
                  <c:v>Documentação</c:v>
                </c:pt>
                <c:pt idx="5">
                  <c:v>Veículos</c:v>
                </c:pt>
                <c:pt idx="6">
                  <c:v>Saúde Ocupacional</c:v>
                </c:pt>
                <c:pt idx="7">
                  <c:v>Emergência</c:v>
                </c:pt>
                <c:pt idx="8">
                  <c:v>Contratadas</c:v>
                </c:pt>
                <c:pt idx="9">
                  <c:v>Produção</c:v>
                </c:pt>
              </c:strCache>
            </c:strRef>
          </c:cat>
          <c:val>
            <c:numRef>
              <c:f>Eventos!$N$5:$N$14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1037797"/>
        <c:axId val="72571220"/>
      </c:barChart>
      <c:catAx>
        <c:axId val="51037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1220"/>
        <c:crosses val="autoZero"/>
        <c:auto val="1"/>
        <c:lblAlgn val="ctr"/>
        <c:lblOffset val="100"/>
        <c:noMultiLvlLbl val="0"/>
      </c:catAx>
      <c:valAx>
        <c:axId val="725712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377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das Não Conformidades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Eventos!Q4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Eventos!$P$5:$P$7</c:f>
              <c:strCache>
                <c:ptCount val="3"/>
                <c:pt idx="0">
                  <c:v>Aberto</c:v>
                </c:pt>
                <c:pt idx="1">
                  <c:v>Em Andamento</c:v>
                </c:pt>
                <c:pt idx="2">
                  <c:v>Fechado</c:v>
                </c:pt>
              </c:strCache>
            </c:strRef>
          </c:cat>
          <c:val>
            <c:numRef>
              <c:f>Eventos!$Q$5:$Q$7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Conformidade por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Eventos!P18</c:f>
              <c:strCache>
                <c:ptCount val="1"/>
                <c:pt idx="0">
                  <c:v>% Conform.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Eventos!$M$19:$M$28</c:f>
              <c:strCache>
                <c:ptCount val="10"/>
                <c:pt idx="0">
                  <c:v>Segurança do Trabalho</c:v>
                </c:pt>
                <c:pt idx="1">
                  <c:v>Meio Ambiente</c:v>
                </c:pt>
                <c:pt idx="2">
                  <c:v>Qualidade</c:v>
                </c:pt>
                <c:pt idx="3">
                  <c:v>Equipamentos</c:v>
                </c:pt>
                <c:pt idx="4">
                  <c:v>Documentação</c:v>
                </c:pt>
                <c:pt idx="5">
                  <c:v>Veículos</c:v>
                </c:pt>
                <c:pt idx="6">
                  <c:v>Saúde Ocupacional</c:v>
                </c:pt>
                <c:pt idx="7">
                  <c:v>Emergência</c:v>
                </c:pt>
                <c:pt idx="8">
                  <c:v>Contratadas</c:v>
                </c:pt>
                <c:pt idx="9">
                  <c:v>Produção</c:v>
                </c:pt>
              </c:strCache>
            </c:strRef>
          </c:cat>
          <c:val>
            <c:numRef>
              <c:f>Eventos!$P$19:$P$28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38364957"/>
        <c:axId val="55987465"/>
      </c:barChart>
      <c:catAx>
        <c:axId val="38364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87465"/>
        <c:crosses val="autoZero"/>
        <c:auto val="1"/>
        <c:lblAlgn val="ctr"/>
        <c:lblOffset val="100"/>
        <c:noMultiLvlLbl val="0"/>
      </c:catAx>
      <c:valAx>
        <c:axId val="55987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64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2</xdr:row>
      <xdr:rowOff>0</xdr:rowOff>
    </xdr:from>
    <xdr:to>
      <xdr:col>27</xdr:col>
      <xdr:colOff>255600</xdr:colOff>
      <xdr:row>17</xdr:row>
      <xdr:rowOff>21600</xdr:rowOff>
    </xdr:to>
    <xdr:graphicFrame>
      <xdr:nvGraphicFramePr>
        <xdr:cNvPr id="0" name="Chart 1"/>
        <xdr:cNvGraphicFramePr/>
      </xdr:nvGraphicFramePr>
      <xdr:xfrm>
        <a:off x="1973772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25</xdr:col>
      <xdr:colOff>38880</xdr:colOff>
      <xdr:row>34</xdr:row>
      <xdr:rowOff>21600</xdr:rowOff>
    </xdr:to>
    <xdr:graphicFrame>
      <xdr:nvGraphicFramePr>
        <xdr:cNvPr id="1" name="Chart 2"/>
        <xdr:cNvGraphicFramePr/>
      </xdr:nvGraphicFramePr>
      <xdr:xfrm>
        <a:off x="19737720" y="36194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36</xdr:row>
      <xdr:rowOff>0</xdr:rowOff>
    </xdr:from>
    <xdr:to>
      <xdr:col>27</xdr:col>
      <xdr:colOff>255600</xdr:colOff>
      <xdr:row>54</xdr:row>
      <xdr:rowOff>170280</xdr:rowOff>
    </xdr:to>
    <xdr:graphicFrame>
      <xdr:nvGraphicFramePr>
        <xdr:cNvPr id="2" name="Chart 3"/>
        <xdr:cNvGraphicFramePr/>
      </xdr:nvGraphicFramePr>
      <xdr:xfrm>
        <a:off x="19737720" y="685800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</row>
    <row r="7" customFormat="false" ht="39" hidden="false" customHeight="true" outlineLevel="0" collapsed="false">
      <c r="B7" s="4" t="s">
        <v>3</v>
      </c>
      <c r="C7" s="5" t="s">
        <v>4</v>
      </c>
    </row>
    <row r="9" customFormat="false" ht="25.5" hidden="false" customHeight="true" outlineLevel="0" collapsed="false">
      <c r="B9" s="4" t="s">
        <v>5</v>
      </c>
      <c r="C9" s="5" t="s">
        <v>6</v>
      </c>
    </row>
    <row r="11" customFormat="false" ht="39" hidden="false" customHeight="true" outlineLevel="0" collapsed="false">
      <c r="B11" s="4" t="s">
        <v>7</v>
      </c>
      <c r="C11" s="5" t="s">
        <v>8</v>
      </c>
    </row>
    <row r="13" customFormat="false" ht="25.5" hidden="false" customHeight="true" outlineLevel="0" collapsed="false">
      <c r="B13" s="4" t="s">
        <v>9</v>
      </c>
      <c r="C13" s="5" t="s">
        <v>10</v>
      </c>
    </row>
    <row r="15" customFormat="false" ht="25.5" hidden="false" customHeight="true" outlineLevel="0" collapsed="false">
      <c r="B15" s="4" t="s">
        <v>11</v>
      </c>
      <c r="C15" s="5" t="s">
        <v>12</v>
      </c>
    </row>
    <row r="17" customFormat="false" ht="39" hidden="false" customHeight="true" outlineLevel="0" collapsed="false">
      <c r="B17" s="4" t="s">
        <v>13</v>
      </c>
      <c r="C17" s="5" t="s">
        <v>14</v>
      </c>
    </row>
    <row r="19" customFormat="false" ht="39.75" hidden="false" customHeight="true" outlineLevel="0" collapsed="false">
      <c r="B19" s="4" t="s">
        <v>15</v>
      </c>
      <c r="C19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5"/>
    <col collapsed="false" customWidth="true" hidden="false" outlineLevel="0" max="5" min="5" style="1" width="38"/>
    <col collapsed="false" customWidth="true" hidden="false" outlineLevel="0" max="6" min="6" style="1" width="50"/>
    <col collapsed="false" customWidth="true" hidden="false" outlineLevel="0" max="7" min="7" style="1" width="15"/>
    <col collapsed="false" customWidth="true" hidden="false" outlineLevel="0" max="8" min="8" style="1" width="30"/>
    <col collapsed="false" customWidth="true" hidden="false" outlineLevel="0" max="9" min="9" style="1" width="26"/>
    <col collapsed="false" customWidth="true" hidden="false" outlineLevel="0" max="10" min="10" style="1" width="18"/>
    <col collapsed="false" customWidth="true" hidden="false" outlineLevel="0" max="12" min="11" style="1" width="13"/>
    <col collapsed="false" customWidth="true" hidden="true" outlineLevel="0" max="14" min="14" style="0" width="13"/>
  </cols>
  <sheetData>
    <row r="1" customFormat="false" ht="23.2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N1" s="0" t="s">
        <v>29</v>
      </c>
    </row>
    <row r="2" customFormat="false" ht="15" hidden="false" customHeight="true" outlineLevel="0" collapsed="false">
      <c r="A2" s="7" t="s">
        <v>30</v>
      </c>
      <c r="B2" s="7" t="s">
        <v>31</v>
      </c>
      <c r="C2" s="7" t="s">
        <v>32</v>
      </c>
      <c r="D2" s="8"/>
      <c r="E2" s="8"/>
      <c r="F2" s="8"/>
      <c r="G2" s="8"/>
      <c r="H2" s="8"/>
      <c r="I2" s="8"/>
      <c r="J2" s="8"/>
      <c r="K2" s="8"/>
      <c r="L2" s="8"/>
      <c r="N2" s="0" t="str">
        <f aca="false">IF($G2="Não Conforme",COUNTIF($G$2:$G2,"Não Conforme"),"")</f>
        <v/>
      </c>
    </row>
    <row r="3" customFormat="false" ht="23.25" hidden="false" customHeight="true" outlineLevel="0" collapsed="false">
      <c r="A3" s="9" t="s">
        <v>30</v>
      </c>
      <c r="B3" s="10" t="s">
        <v>31</v>
      </c>
      <c r="C3" s="11" t="s">
        <v>32</v>
      </c>
      <c r="D3" s="9" t="n">
        <v>1</v>
      </c>
      <c r="E3" s="11" t="s">
        <v>33</v>
      </c>
      <c r="F3" s="11" t="s">
        <v>34</v>
      </c>
      <c r="G3" s="9"/>
      <c r="H3" s="11"/>
      <c r="I3" s="9"/>
      <c r="J3" s="10"/>
      <c r="K3" s="9"/>
      <c r="L3" s="9" t="s">
        <v>35</v>
      </c>
      <c r="N3" s="0" t="str">
        <f aca="false">IF($G3="Não Conforme",COUNTIF($G$2:$G3,"Não Conforme"),"")</f>
        <v/>
      </c>
    </row>
    <row r="4" customFormat="false" ht="23.25" hidden="false" customHeight="true" outlineLevel="0" collapsed="false">
      <c r="A4" s="9" t="s">
        <v>30</v>
      </c>
      <c r="B4" s="10" t="s">
        <v>31</v>
      </c>
      <c r="C4" s="11" t="s">
        <v>32</v>
      </c>
      <c r="D4" s="9" t="n">
        <v>2</v>
      </c>
      <c r="E4" s="11" t="s">
        <v>36</v>
      </c>
      <c r="F4" s="11" t="s">
        <v>37</v>
      </c>
      <c r="G4" s="9"/>
      <c r="H4" s="11"/>
      <c r="I4" s="9"/>
      <c r="J4" s="10"/>
      <c r="K4" s="9"/>
      <c r="L4" s="9" t="s">
        <v>35</v>
      </c>
      <c r="N4" s="0" t="str">
        <f aca="false">IF($G4="Não Conforme",COUNTIF($G$2:$G4,"Não Conforme"),"")</f>
        <v/>
      </c>
    </row>
    <row r="5" customFormat="false" ht="23.25" hidden="false" customHeight="true" outlineLevel="0" collapsed="false">
      <c r="A5" s="9" t="s">
        <v>30</v>
      </c>
      <c r="B5" s="10" t="s">
        <v>31</v>
      </c>
      <c r="C5" s="11" t="s">
        <v>32</v>
      </c>
      <c r="D5" s="9" t="n">
        <v>3</v>
      </c>
      <c r="E5" s="11" t="s">
        <v>38</v>
      </c>
      <c r="F5" s="11" t="s">
        <v>39</v>
      </c>
      <c r="G5" s="9"/>
      <c r="H5" s="11"/>
      <c r="I5" s="9"/>
      <c r="J5" s="10"/>
      <c r="K5" s="9"/>
      <c r="L5" s="9" t="s">
        <v>35</v>
      </c>
      <c r="N5" s="0" t="str">
        <f aca="false">IF($G5="Não Conforme",COUNTIF($G$2:$G5,"Não Conforme"),"")</f>
        <v/>
      </c>
    </row>
    <row r="6" customFormat="false" ht="23.25" hidden="false" customHeight="true" outlineLevel="0" collapsed="false">
      <c r="A6" s="9" t="s">
        <v>30</v>
      </c>
      <c r="B6" s="10" t="s">
        <v>31</v>
      </c>
      <c r="C6" s="11" t="s">
        <v>32</v>
      </c>
      <c r="D6" s="9" t="n">
        <v>4</v>
      </c>
      <c r="E6" s="11" t="s">
        <v>40</v>
      </c>
      <c r="F6" s="11" t="s">
        <v>41</v>
      </c>
      <c r="G6" s="9"/>
      <c r="H6" s="11"/>
      <c r="I6" s="9"/>
      <c r="J6" s="10"/>
      <c r="K6" s="9"/>
      <c r="L6" s="9" t="s">
        <v>35</v>
      </c>
      <c r="N6" s="0" t="str">
        <f aca="false">IF($G6="Não Conforme",COUNTIF($G$2:$G6,"Não Conforme"),"")</f>
        <v/>
      </c>
    </row>
    <row r="7" customFormat="false" ht="23.25" hidden="false" customHeight="true" outlineLevel="0" collapsed="false">
      <c r="A7" s="9" t="s">
        <v>30</v>
      </c>
      <c r="B7" s="10" t="s">
        <v>31</v>
      </c>
      <c r="C7" s="11" t="s">
        <v>32</v>
      </c>
      <c r="D7" s="9" t="n">
        <v>5</v>
      </c>
      <c r="E7" s="11" t="s">
        <v>42</v>
      </c>
      <c r="F7" s="11" t="s">
        <v>43</v>
      </c>
      <c r="G7" s="9"/>
      <c r="H7" s="11"/>
      <c r="I7" s="9"/>
      <c r="J7" s="10"/>
      <c r="K7" s="9"/>
      <c r="L7" s="9" t="s">
        <v>35</v>
      </c>
      <c r="N7" s="0" t="str">
        <f aca="false">IF($G7="Não Conforme",COUNTIF($G$2:$G7,"Não Conforme"),"")</f>
        <v/>
      </c>
    </row>
    <row r="8" customFormat="false" ht="23.25" hidden="false" customHeight="true" outlineLevel="0" collapsed="false">
      <c r="A8" s="9" t="s">
        <v>30</v>
      </c>
      <c r="B8" s="10" t="s">
        <v>31</v>
      </c>
      <c r="C8" s="11" t="s">
        <v>32</v>
      </c>
      <c r="D8" s="9" t="n">
        <v>6</v>
      </c>
      <c r="E8" s="11" t="s">
        <v>44</v>
      </c>
      <c r="F8" s="11" t="s">
        <v>45</v>
      </c>
      <c r="G8" s="9"/>
      <c r="H8" s="11"/>
      <c r="I8" s="9"/>
      <c r="J8" s="10"/>
      <c r="K8" s="9"/>
      <c r="L8" s="9" t="s">
        <v>35</v>
      </c>
      <c r="N8" s="0" t="str">
        <f aca="false">IF($G8="Não Conforme",COUNTIF($G$2:$G8,"Não Conforme"),"")</f>
        <v/>
      </c>
    </row>
    <row r="9" customFormat="false" ht="23.25" hidden="false" customHeight="true" outlineLevel="0" collapsed="false">
      <c r="A9" s="9" t="s">
        <v>30</v>
      </c>
      <c r="B9" s="10" t="s">
        <v>31</v>
      </c>
      <c r="C9" s="11" t="s">
        <v>32</v>
      </c>
      <c r="D9" s="9" t="n">
        <v>7</v>
      </c>
      <c r="E9" s="11" t="s">
        <v>46</v>
      </c>
      <c r="F9" s="11" t="s">
        <v>47</v>
      </c>
      <c r="G9" s="9"/>
      <c r="H9" s="11"/>
      <c r="I9" s="9"/>
      <c r="J9" s="10"/>
      <c r="K9" s="9"/>
      <c r="L9" s="9" t="s">
        <v>35</v>
      </c>
      <c r="N9" s="0" t="str">
        <f aca="false">IF($G9="Não Conforme",COUNTIF($G$2:$G9,"Não Conforme"),"")</f>
        <v/>
      </c>
    </row>
    <row r="10" customFormat="false" ht="23.25" hidden="false" customHeight="true" outlineLevel="0" collapsed="false">
      <c r="A10" s="9" t="s">
        <v>30</v>
      </c>
      <c r="B10" s="10" t="s">
        <v>31</v>
      </c>
      <c r="C10" s="11" t="s">
        <v>32</v>
      </c>
      <c r="D10" s="9" t="n">
        <v>8</v>
      </c>
      <c r="E10" s="11" t="s">
        <v>48</v>
      </c>
      <c r="F10" s="11" t="s">
        <v>49</v>
      </c>
      <c r="G10" s="9"/>
      <c r="H10" s="11"/>
      <c r="I10" s="9"/>
      <c r="J10" s="10"/>
      <c r="K10" s="9"/>
      <c r="L10" s="9" t="s">
        <v>35</v>
      </c>
      <c r="N10" s="0" t="str">
        <f aca="false">IF($G10="Não Conforme",COUNTIF($G$2:$G10,"Não Conforme"),"")</f>
        <v/>
      </c>
    </row>
    <row r="11" customFormat="false" ht="23.25" hidden="false" customHeight="true" outlineLevel="0" collapsed="false">
      <c r="A11" s="9" t="s">
        <v>30</v>
      </c>
      <c r="B11" s="10" t="s">
        <v>31</v>
      </c>
      <c r="C11" s="11" t="s">
        <v>32</v>
      </c>
      <c r="D11" s="9" t="n">
        <v>9</v>
      </c>
      <c r="E11" s="11" t="s">
        <v>50</v>
      </c>
      <c r="F11" s="11" t="s">
        <v>51</v>
      </c>
      <c r="G11" s="9"/>
      <c r="H11" s="11"/>
      <c r="I11" s="9"/>
      <c r="J11" s="10"/>
      <c r="K11" s="9"/>
      <c r="L11" s="9" t="s">
        <v>35</v>
      </c>
      <c r="N11" s="0" t="str">
        <f aca="false">IF($G11="Não Conforme",COUNTIF($G$2:$G11,"Não Conforme"),"")</f>
        <v/>
      </c>
    </row>
    <row r="12" customFormat="false" ht="23.25" hidden="false" customHeight="true" outlineLevel="0" collapsed="false">
      <c r="A12" s="9" t="s">
        <v>30</v>
      </c>
      <c r="B12" s="10" t="s">
        <v>31</v>
      </c>
      <c r="C12" s="11" t="s">
        <v>32</v>
      </c>
      <c r="D12" s="9" t="n">
        <v>10</v>
      </c>
      <c r="E12" s="11" t="s">
        <v>52</v>
      </c>
      <c r="F12" s="11" t="s">
        <v>53</v>
      </c>
      <c r="G12" s="9"/>
      <c r="H12" s="11"/>
      <c r="I12" s="9"/>
      <c r="J12" s="10"/>
      <c r="K12" s="9"/>
      <c r="L12" s="9" t="s">
        <v>35</v>
      </c>
      <c r="N12" s="0" t="str">
        <f aca="false">IF($G12="Não Conforme",COUNTIF($G$2:$G12,"Não Conforme"),"")</f>
        <v/>
      </c>
    </row>
    <row r="13" customFormat="false" ht="23.25" hidden="false" customHeight="true" outlineLevel="0" collapsed="false">
      <c r="A13" s="9" t="s">
        <v>30</v>
      </c>
      <c r="B13" s="10" t="s">
        <v>31</v>
      </c>
      <c r="C13" s="11" t="s">
        <v>32</v>
      </c>
      <c r="D13" s="9" t="n">
        <v>11</v>
      </c>
      <c r="E13" s="11" t="s">
        <v>54</v>
      </c>
      <c r="F13" s="11" t="s">
        <v>55</v>
      </c>
      <c r="G13" s="9"/>
      <c r="H13" s="11"/>
      <c r="I13" s="9"/>
      <c r="J13" s="10"/>
      <c r="K13" s="9"/>
      <c r="L13" s="9" t="s">
        <v>35</v>
      </c>
      <c r="N13" s="0" t="str">
        <f aca="false">IF($G13="Não Conforme",COUNTIF($G$2:$G13,"Não Conforme"),"")</f>
        <v/>
      </c>
    </row>
    <row r="14" customFormat="false" ht="23.25" hidden="false" customHeight="true" outlineLevel="0" collapsed="false">
      <c r="A14" s="9" t="s">
        <v>30</v>
      </c>
      <c r="B14" s="10" t="s">
        <v>31</v>
      </c>
      <c r="C14" s="11" t="s">
        <v>32</v>
      </c>
      <c r="D14" s="9" t="n">
        <v>12</v>
      </c>
      <c r="E14" s="11" t="s">
        <v>56</v>
      </c>
      <c r="F14" s="11" t="s">
        <v>57</v>
      </c>
      <c r="G14" s="9"/>
      <c r="H14" s="11"/>
      <c r="I14" s="9"/>
      <c r="J14" s="10"/>
      <c r="K14" s="9"/>
      <c r="L14" s="9" t="s">
        <v>35</v>
      </c>
      <c r="N14" s="0" t="str">
        <f aca="false">IF($G14="Não Conforme",COUNTIF($G$2:$G14,"Não Conforme"),"")</f>
        <v/>
      </c>
    </row>
    <row r="15" customFormat="false" ht="15" hidden="false" customHeight="true" outlineLevel="0" collapsed="false">
      <c r="A15" s="7" t="s">
        <v>58</v>
      </c>
      <c r="B15" s="7" t="s">
        <v>31</v>
      </c>
      <c r="C15" s="7" t="s">
        <v>59</v>
      </c>
      <c r="D15" s="8"/>
      <c r="E15" s="8"/>
      <c r="F15" s="8"/>
      <c r="G15" s="8"/>
      <c r="H15" s="8"/>
      <c r="I15" s="8"/>
      <c r="J15" s="8"/>
      <c r="K15" s="8"/>
      <c r="L15" s="8"/>
      <c r="N15" s="0" t="str">
        <f aca="false">IF($G15="Não Conforme",COUNTIF($G$2:$G15,"Não Conforme"),"")</f>
        <v/>
      </c>
    </row>
    <row r="16" customFormat="false" ht="23.25" hidden="false" customHeight="true" outlineLevel="0" collapsed="false">
      <c r="A16" s="9" t="s">
        <v>58</v>
      </c>
      <c r="B16" s="10" t="s">
        <v>31</v>
      </c>
      <c r="C16" s="11" t="s">
        <v>59</v>
      </c>
      <c r="D16" s="9" t="n">
        <v>1</v>
      </c>
      <c r="E16" s="11" t="s">
        <v>60</v>
      </c>
      <c r="F16" s="11" t="s">
        <v>61</v>
      </c>
      <c r="G16" s="9"/>
      <c r="H16" s="11"/>
      <c r="I16" s="9"/>
      <c r="J16" s="10"/>
      <c r="K16" s="9"/>
      <c r="L16" s="9" t="s">
        <v>35</v>
      </c>
      <c r="N16" s="0" t="str">
        <f aca="false">IF($G16="Não Conforme",COUNTIF($G$2:$G16,"Não Conforme"),"")</f>
        <v/>
      </c>
    </row>
    <row r="17" customFormat="false" ht="23.25" hidden="false" customHeight="true" outlineLevel="0" collapsed="false">
      <c r="A17" s="9" t="s">
        <v>58</v>
      </c>
      <c r="B17" s="10" t="s">
        <v>31</v>
      </c>
      <c r="C17" s="11" t="s">
        <v>59</v>
      </c>
      <c r="D17" s="9" t="n">
        <v>2</v>
      </c>
      <c r="E17" s="11" t="s">
        <v>62</v>
      </c>
      <c r="F17" s="11" t="s">
        <v>63</v>
      </c>
      <c r="G17" s="9"/>
      <c r="H17" s="11"/>
      <c r="I17" s="9"/>
      <c r="J17" s="10"/>
      <c r="K17" s="9"/>
      <c r="L17" s="9" t="s">
        <v>35</v>
      </c>
      <c r="N17" s="0" t="str">
        <f aca="false">IF($G17="Não Conforme",COUNTIF($G$2:$G17,"Não Conforme"),"")</f>
        <v/>
      </c>
    </row>
    <row r="18" customFormat="false" ht="23.25" hidden="false" customHeight="true" outlineLevel="0" collapsed="false">
      <c r="A18" s="9" t="s">
        <v>58</v>
      </c>
      <c r="B18" s="10" t="s">
        <v>31</v>
      </c>
      <c r="C18" s="11" t="s">
        <v>59</v>
      </c>
      <c r="D18" s="9" t="n">
        <v>3</v>
      </c>
      <c r="E18" s="11" t="s">
        <v>64</v>
      </c>
      <c r="F18" s="11" t="s">
        <v>65</v>
      </c>
      <c r="G18" s="9"/>
      <c r="H18" s="11"/>
      <c r="I18" s="9"/>
      <c r="J18" s="10"/>
      <c r="K18" s="9"/>
      <c r="L18" s="9" t="s">
        <v>35</v>
      </c>
      <c r="N18" s="0" t="str">
        <f aca="false">IF($G18="Não Conforme",COUNTIF($G$2:$G18,"Não Conforme"),"")</f>
        <v/>
      </c>
    </row>
    <row r="19" customFormat="false" ht="23.25" hidden="false" customHeight="true" outlineLevel="0" collapsed="false">
      <c r="A19" s="9" t="s">
        <v>58</v>
      </c>
      <c r="B19" s="10" t="s">
        <v>31</v>
      </c>
      <c r="C19" s="11" t="s">
        <v>59</v>
      </c>
      <c r="D19" s="9" t="n">
        <v>4</v>
      </c>
      <c r="E19" s="11" t="s">
        <v>66</v>
      </c>
      <c r="F19" s="11" t="s">
        <v>67</v>
      </c>
      <c r="G19" s="9"/>
      <c r="H19" s="11"/>
      <c r="I19" s="9"/>
      <c r="J19" s="10"/>
      <c r="K19" s="9"/>
      <c r="L19" s="9" t="s">
        <v>35</v>
      </c>
      <c r="N19" s="0" t="str">
        <f aca="false">IF($G19="Não Conforme",COUNTIF($G$2:$G19,"Não Conforme"),"")</f>
        <v/>
      </c>
    </row>
    <row r="20" customFormat="false" ht="23.25" hidden="false" customHeight="true" outlineLevel="0" collapsed="false">
      <c r="A20" s="9" t="s">
        <v>58</v>
      </c>
      <c r="B20" s="10" t="s">
        <v>31</v>
      </c>
      <c r="C20" s="11" t="s">
        <v>59</v>
      </c>
      <c r="D20" s="9" t="n">
        <v>5</v>
      </c>
      <c r="E20" s="11" t="s">
        <v>68</v>
      </c>
      <c r="F20" s="11" t="s">
        <v>69</v>
      </c>
      <c r="G20" s="9"/>
      <c r="H20" s="11"/>
      <c r="I20" s="9"/>
      <c r="J20" s="10"/>
      <c r="K20" s="9"/>
      <c r="L20" s="9" t="s">
        <v>35</v>
      </c>
      <c r="N20" s="0" t="str">
        <f aca="false">IF($G20="Não Conforme",COUNTIF($G$2:$G20,"Não Conforme"),"")</f>
        <v/>
      </c>
    </row>
    <row r="21" customFormat="false" ht="23.25" hidden="false" customHeight="true" outlineLevel="0" collapsed="false">
      <c r="A21" s="9" t="s">
        <v>58</v>
      </c>
      <c r="B21" s="10" t="s">
        <v>31</v>
      </c>
      <c r="C21" s="11" t="s">
        <v>59</v>
      </c>
      <c r="D21" s="9" t="n">
        <v>6</v>
      </c>
      <c r="E21" s="11" t="s">
        <v>70</v>
      </c>
      <c r="F21" s="11" t="s">
        <v>71</v>
      </c>
      <c r="G21" s="9"/>
      <c r="H21" s="11"/>
      <c r="I21" s="9"/>
      <c r="J21" s="10"/>
      <c r="K21" s="9"/>
      <c r="L21" s="9" t="s">
        <v>35</v>
      </c>
      <c r="N21" s="0" t="str">
        <f aca="false">IF($G21="Não Conforme",COUNTIF($G$2:$G21,"Não Conforme"),"")</f>
        <v/>
      </c>
    </row>
    <row r="22" customFormat="false" ht="23.25" hidden="false" customHeight="true" outlineLevel="0" collapsed="false">
      <c r="A22" s="9" t="s">
        <v>58</v>
      </c>
      <c r="B22" s="10" t="s">
        <v>31</v>
      </c>
      <c r="C22" s="11" t="s">
        <v>59</v>
      </c>
      <c r="D22" s="9" t="n">
        <v>7</v>
      </c>
      <c r="E22" s="11" t="s">
        <v>72</v>
      </c>
      <c r="F22" s="11" t="s">
        <v>73</v>
      </c>
      <c r="G22" s="9"/>
      <c r="H22" s="11"/>
      <c r="I22" s="9"/>
      <c r="J22" s="10"/>
      <c r="K22" s="9"/>
      <c r="L22" s="9" t="s">
        <v>35</v>
      </c>
      <c r="N22" s="0" t="str">
        <f aca="false">IF($G22="Não Conforme",COUNTIF($G$2:$G22,"Não Conforme"),"")</f>
        <v/>
      </c>
    </row>
    <row r="23" customFormat="false" ht="23.25" hidden="false" customHeight="true" outlineLevel="0" collapsed="false">
      <c r="A23" s="9" t="s">
        <v>58</v>
      </c>
      <c r="B23" s="10" t="s">
        <v>31</v>
      </c>
      <c r="C23" s="11" t="s">
        <v>59</v>
      </c>
      <c r="D23" s="9" t="n">
        <v>8</v>
      </c>
      <c r="E23" s="11" t="s">
        <v>74</v>
      </c>
      <c r="F23" s="11" t="s">
        <v>75</v>
      </c>
      <c r="G23" s="9"/>
      <c r="H23" s="11"/>
      <c r="I23" s="9"/>
      <c r="J23" s="10"/>
      <c r="K23" s="9"/>
      <c r="L23" s="9" t="s">
        <v>35</v>
      </c>
      <c r="N23" s="0" t="str">
        <f aca="false">IF($G23="Não Conforme",COUNTIF($G$2:$G23,"Não Conforme"),"")</f>
        <v/>
      </c>
    </row>
    <row r="24" customFormat="false" ht="23.25" hidden="false" customHeight="true" outlineLevel="0" collapsed="false">
      <c r="A24" s="9" t="s">
        <v>58</v>
      </c>
      <c r="B24" s="10" t="s">
        <v>31</v>
      </c>
      <c r="C24" s="11" t="s">
        <v>59</v>
      </c>
      <c r="D24" s="9" t="n">
        <v>9</v>
      </c>
      <c r="E24" s="11" t="s">
        <v>76</v>
      </c>
      <c r="F24" s="11" t="s">
        <v>77</v>
      </c>
      <c r="G24" s="9"/>
      <c r="H24" s="11"/>
      <c r="I24" s="9"/>
      <c r="J24" s="10"/>
      <c r="K24" s="9"/>
      <c r="L24" s="9" t="s">
        <v>35</v>
      </c>
      <c r="N24" s="0" t="str">
        <f aca="false">IF($G24="Não Conforme",COUNTIF($G$2:$G24,"Não Conforme"),"")</f>
        <v/>
      </c>
    </row>
    <row r="25" customFormat="false" ht="23.25" hidden="false" customHeight="true" outlineLevel="0" collapsed="false">
      <c r="A25" s="9" t="s">
        <v>58</v>
      </c>
      <c r="B25" s="10" t="s">
        <v>31</v>
      </c>
      <c r="C25" s="11" t="s">
        <v>59</v>
      </c>
      <c r="D25" s="9" t="n">
        <v>10</v>
      </c>
      <c r="E25" s="11" t="s">
        <v>78</v>
      </c>
      <c r="F25" s="11" t="s">
        <v>79</v>
      </c>
      <c r="G25" s="9"/>
      <c r="H25" s="11"/>
      <c r="I25" s="9"/>
      <c r="J25" s="10"/>
      <c r="K25" s="9"/>
      <c r="L25" s="9" t="s">
        <v>35</v>
      </c>
      <c r="N25" s="0" t="str">
        <f aca="false">IF($G25="Não Conforme",COUNTIF($G$2:$G25,"Não Conforme"),"")</f>
        <v/>
      </c>
    </row>
    <row r="26" customFormat="false" ht="23.25" hidden="false" customHeight="true" outlineLevel="0" collapsed="false">
      <c r="A26" s="9" t="s">
        <v>58</v>
      </c>
      <c r="B26" s="10" t="s">
        <v>31</v>
      </c>
      <c r="C26" s="11" t="s">
        <v>59</v>
      </c>
      <c r="D26" s="9" t="n">
        <v>11</v>
      </c>
      <c r="E26" s="11" t="s">
        <v>80</v>
      </c>
      <c r="F26" s="11" t="s">
        <v>81</v>
      </c>
      <c r="G26" s="9"/>
      <c r="H26" s="11"/>
      <c r="I26" s="9"/>
      <c r="J26" s="10"/>
      <c r="K26" s="9"/>
      <c r="L26" s="9" t="s">
        <v>35</v>
      </c>
      <c r="N26" s="0" t="str">
        <f aca="false">IF($G26="Não Conforme",COUNTIF($G$2:$G26,"Não Conforme"),"")</f>
        <v/>
      </c>
    </row>
    <row r="27" customFormat="false" ht="23.25" hidden="false" customHeight="true" outlineLevel="0" collapsed="false">
      <c r="A27" s="9" t="s">
        <v>58</v>
      </c>
      <c r="B27" s="10" t="s">
        <v>31</v>
      </c>
      <c r="C27" s="11" t="s">
        <v>59</v>
      </c>
      <c r="D27" s="9" t="n">
        <v>12</v>
      </c>
      <c r="E27" s="11" t="s">
        <v>82</v>
      </c>
      <c r="F27" s="11" t="s">
        <v>83</v>
      </c>
      <c r="G27" s="9"/>
      <c r="H27" s="11"/>
      <c r="I27" s="9"/>
      <c r="J27" s="10"/>
      <c r="K27" s="9"/>
      <c r="L27" s="9" t="s">
        <v>35</v>
      </c>
      <c r="N27" s="0" t="str">
        <f aca="false">IF($G27="Não Conforme",COUNTIF($G$2:$G27,"Não Conforme"),"")</f>
        <v/>
      </c>
    </row>
    <row r="28" customFormat="false" ht="23.25" hidden="false" customHeight="true" outlineLevel="0" collapsed="false">
      <c r="A28" s="9" t="s">
        <v>58</v>
      </c>
      <c r="B28" s="10" t="s">
        <v>31</v>
      </c>
      <c r="C28" s="11" t="s">
        <v>59</v>
      </c>
      <c r="D28" s="9" t="n">
        <v>13</v>
      </c>
      <c r="E28" s="11" t="s">
        <v>84</v>
      </c>
      <c r="F28" s="11" t="s">
        <v>85</v>
      </c>
      <c r="G28" s="9"/>
      <c r="H28" s="11"/>
      <c r="I28" s="9"/>
      <c r="J28" s="10"/>
      <c r="K28" s="9"/>
      <c r="L28" s="9" t="s">
        <v>35</v>
      </c>
      <c r="N28" s="0" t="str">
        <f aca="false">IF($G28="Não Conforme",COUNTIF($G$2:$G28,"Não Conforme"),"")</f>
        <v/>
      </c>
    </row>
    <row r="29" customFormat="false" ht="23.25" hidden="false" customHeight="true" outlineLevel="0" collapsed="false">
      <c r="A29" s="9" t="s">
        <v>58</v>
      </c>
      <c r="B29" s="10" t="s">
        <v>31</v>
      </c>
      <c r="C29" s="11" t="s">
        <v>59</v>
      </c>
      <c r="D29" s="9" t="n">
        <v>14</v>
      </c>
      <c r="E29" s="11" t="s">
        <v>86</v>
      </c>
      <c r="F29" s="11" t="s">
        <v>87</v>
      </c>
      <c r="G29" s="9"/>
      <c r="H29" s="11"/>
      <c r="I29" s="9"/>
      <c r="J29" s="10"/>
      <c r="K29" s="9"/>
      <c r="L29" s="9" t="s">
        <v>35</v>
      </c>
      <c r="N29" s="0" t="str">
        <f aca="false">IF($G29="Não Conforme",COUNTIF($G$2:$G29,"Não Conforme"),"")</f>
        <v/>
      </c>
    </row>
    <row r="30" customFormat="false" ht="15" hidden="false" customHeight="true" outlineLevel="0" collapsed="false">
      <c r="A30" s="7" t="s">
        <v>88</v>
      </c>
      <c r="B30" s="7" t="s">
        <v>31</v>
      </c>
      <c r="C30" s="7" t="s">
        <v>89</v>
      </c>
      <c r="D30" s="8"/>
      <c r="E30" s="8"/>
      <c r="F30" s="8"/>
      <c r="G30" s="8"/>
      <c r="H30" s="8"/>
      <c r="I30" s="8"/>
      <c r="J30" s="8"/>
      <c r="K30" s="8"/>
      <c r="L30" s="8"/>
      <c r="N30" s="0" t="str">
        <f aca="false">IF($G30="Não Conforme",COUNTIF($G$2:$G30,"Não Conforme"),"")</f>
        <v/>
      </c>
    </row>
    <row r="31" customFormat="false" ht="23.25" hidden="false" customHeight="true" outlineLevel="0" collapsed="false">
      <c r="A31" s="9" t="s">
        <v>88</v>
      </c>
      <c r="B31" s="10" t="s">
        <v>31</v>
      </c>
      <c r="C31" s="11" t="s">
        <v>89</v>
      </c>
      <c r="D31" s="9" t="n">
        <v>1</v>
      </c>
      <c r="E31" s="11" t="s">
        <v>90</v>
      </c>
      <c r="F31" s="11" t="s">
        <v>91</v>
      </c>
      <c r="G31" s="9"/>
      <c r="H31" s="11"/>
      <c r="I31" s="9"/>
      <c r="J31" s="10"/>
      <c r="K31" s="9"/>
      <c r="L31" s="9" t="s">
        <v>35</v>
      </c>
      <c r="N31" s="0" t="str">
        <f aca="false">IF($G31="Não Conforme",COUNTIF($G$2:$G31,"Não Conforme"),"")</f>
        <v/>
      </c>
    </row>
    <row r="32" customFormat="false" ht="23.25" hidden="false" customHeight="true" outlineLevel="0" collapsed="false">
      <c r="A32" s="9" t="s">
        <v>88</v>
      </c>
      <c r="B32" s="10" t="s">
        <v>31</v>
      </c>
      <c r="C32" s="11" t="s">
        <v>89</v>
      </c>
      <c r="D32" s="9" t="n">
        <v>2</v>
      </c>
      <c r="E32" s="11" t="s">
        <v>92</v>
      </c>
      <c r="F32" s="11" t="s">
        <v>93</v>
      </c>
      <c r="G32" s="9"/>
      <c r="H32" s="11"/>
      <c r="I32" s="9"/>
      <c r="J32" s="10"/>
      <c r="K32" s="9"/>
      <c r="L32" s="9" t="s">
        <v>35</v>
      </c>
      <c r="N32" s="0" t="str">
        <f aca="false">IF($G32="Não Conforme",COUNTIF($G$2:$G32,"Não Conforme"),"")</f>
        <v/>
      </c>
    </row>
    <row r="33" customFormat="false" ht="23.25" hidden="false" customHeight="true" outlineLevel="0" collapsed="false">
      <c r="A33" s="9" t="s">
        <v>88</v>
      </c>
      <c r="B33" s="10" t="s">
        <v>31</v>
      </c>
      <c r="C33" s="11" t="s">
        <v>89</v>
      </c>
      <c r="D33" s="9" t="n">
        <v>3</v>
      </c>
      <c r="E33" s="11" t="s">
        <v>94</v>
      </c>
      <c r="F33" s="11" t="s">
        <v>95</v>
      </c>
      <c r="G33" s="9"/>
      <c r="H33" s="11"/>
      <c r="I33" s="9"/>
      <c r="J33" s="10"/>
      <c r="K33" s="9"/>
      <c r="L33" s="9" t="s">
        <v>35</v>
      </c>
      <c r="N33" s="0" t="str">
        <f aca="false">IF($G33="Não Conforme",COUNTIF($G$2:$G33,"Não Conforme"),"")</f>
        <v/>
      </c>
    </row>
    <row r="34" customFormat="false" ht="23.25" hidden="false" customHeight="true" outlineLevel="0" collapsed="false">
      <c r="A34" s="9" t="s">
        <v>88</v>
      </c>
      <c r="B34" s="10" t="s">
        <v>31</v>
      </c>
      <c r="C34" s="11" t="s">
        <v>89</v>
      </c>
      <c r="D34" s="9" t="n">
        <v>4</v>
      </c>
      <c r="E34" s="11" t="s">
        <v>96</v>
      </c>
      <c r="F34" s="11" t="s">
        <v>97</v>
      </c>
      <c r="G34" s="9"/>
      <c r="H34" s="11"/>
      <c r="I34" s="9"/>
      <c r="J34" s="10"/>
      <c r="K34" s="9"/>
      <c r="L34" s="9" t="s">
        <v>35</v>
      </c>
      <c r="N34" s="0" t="str">
        <f aca="false">IF($G34="Não Conforme",COUNTIF($G$2:$G34,"Não Conforme"),"")</f>
        <v/>
      </c>
    </row>
    <row r="35" customFormat="false" ht="23.25" hidden="false" customHeight="true" outlineLevel="0" collapsed="false">
      <c r="A35" s="9" t="s">
        <v>88</v>
      </c>
      <c r="B35" s="10" t="s">
        <v>31</v>
      </c>
      <c r="C35" s="11" t="s">
        <v>89</v>
      </c>
      <c r="D35" s="9" t="n">
        <v>5</v>
      </c>
      <c r="E35" s="11" t="s">
        <v>98</v>
      </c>
      <c r="F35" s="11" t="s">
        <v>99</v>
      </c>
      <c r="G35" s="9"/>
      <c r="H35" s="11"/>
      <c r="I35" s="9"/>
      <c r="J35" s="10"/>
      <c r="K35" s="9"/>
      <c r="L35" s="9" t="s">
        <v>35</v>
      </c>
      <c r="N35" s="0" t="str">
        <f aca="false">IF($G35="Não Conforme",COUNTIF($G$2:$G35,"Não Conforme"),"")</f>
        <v/>
      </c>
    </row>
    <row r="36" customFormat="false" ht="23.25" hidden="false" customHeight="true" outlineLevel="0" collapsed="false">
      <c r="A36" s="9" t="s">
        <v>88</v>
      </c>
      <c r="B36" s="10" t="s">
        <v>31</v>
      </c>
      <c r="C36" s="11" t="s">
        <v>89</v>
      </c>
      <c r="D36" s="9" t="n">
        <v>6</v>
      </c>
      <c r="E36" s="11" t="s">
        <v>100</v>
      </c>
      <c r="F36" s="11" t="s">
        <v>101</v>
      </c>
      <c r="G36" s="9"/>
      <c r="H36" s="11"/>
      <c r="I36" s="9"/>
      <c r="J36" s="10"/>
      <c r="K36" s="9"/>
      <c r="L36" s="9" t="s">
        <v>35</v>
      </c>
      <c r="N36" s="0" t="str">
        <f aca="false">IF($G36="Não Conforme",COUNTIF($G$2:$G36,"Não Conforme"),"")</f>
        <v/>
      </c>
    </row>
    <row r="37" customFormat="false" ht="23.25" hidden="false" customHeight="true" outlineLevel="0" collapsed="false">
      <c r="A37" s="9" t="s">
        <v>88</v>
      </c>
      <c r="B37" s="10" t="s">
        <v>31</v>
      </c>
      <c r="C37" s="11" t="s">
        <v>89</v>
      </c>
      <c r="D37" s="9" t="n">
        <v>7</v>
      </c>
      <c r="E37" s="11" t="s">
        <v>102</v>
      </c>
      <c r="F37" s="11" t="s">
        <v>103</v>
      </c>
      <c r="G37" s="9"/>
      <c r="H37" s="11"/>
      <c r="I37" s="9"/>
      <c r="J37" s="10"/>
      <c r="K37" s="9"/>
      <c r="L37" s="9" t="s">
        <v>35</v>
      </c>
      <c r="N37" s="0" t="str">
        <f aca="false">IF($G37="Não Conforme",COUNTIF($G$2:$G37,"Não Conforme"),"")</f>
        <v/>
      </c>
    </row>
    <row r="38" customFormat="false" ht="23.25" hidden="false" customHeight="true" outlineLevel="0" collapsed="false">
      <c r="A38" s="9" t="s">
        <v>88</v>
      </c>
      <c r="B38" s="10" t="s">
        <v>31</v>
      </c>
      <c r="C38" s="11" t="s">
        <v>89</v>
      </c>
      <c r="D38" s="9" t="n">
        <v>8</v>
      </c>
      <c r="E38" s="11" t="s">
        <v>104</v>
      </c>
      <c r="F38" s="11" t="s">
        <v>105</v>
      </c>
      <c r="G38" s="9"/>
      <c r="H38" s="11"/>
      <c r="I38" s="9"/>
      <c r="J38" s="10"/>
      <c r="K38" s="9"/>
      <c r="L38" s="9" t="s">
        <v>35</v>
      </c>
      <c r="N38" s="0" t="str">
        <f aca="false">IF($G38="Não Conforme",COUNTIF($G$2:$G38,"Não Conforme"),"")</f>
        <v/>
      </c>
    </row>
    <row r="39" customFormat="false" ht="23.25" hidden="false" customHeight="true" outlineLevel="0" collapsed="false">
      <c r="A39" s="9" t="s">
        <v>88</v>
      </c>
      <c r="B39" s="10" t="s">
        <v>31</v>
      </c>
      <c r="C39" s="11" t="s">
        <v>89</v>
      </c>
      <c r="D39" s="9" t="n">
        <v>9</v>
      </c>
      <c r="E39" s="11" t="s">
        <v>106</v>
      </c>
      <c r="F39" s="11" t="s">
        <v>107</v>
      </c>
      <c r="G39" s="9"/>
      <c r="H39" s="11"/>
      <c r="I39" s="9"/>
      <c r="J39" s="10"/>
      <c r="K39" s="9"/>
      <c r="L39" s="9" t="s">
        <v>35</v>
      </c>
      <c r="N39" s="0" t="str">
        <f aca="false">IF($G39="Não Conforme",COUNTIF($G$2:$G39,"Não Conforme"),"")</f>
        <v/>
      </c>
    </row>
    <row r="40" customFormat="false" ht="23.25" hidden="false" customHeight="true" outlineLevel="0" collapsed="false">
      <c r="A40" s="9" t="s">
        <v>88</v>
      </c>
      <c r="B40" s="10" t="s">
        <v>31</v>
      </c>
      <c r="C40" s="11" t="s">
        <v>89</v>
      </c>
      <c r="D40" s="9" t="n">
        <v>10</v>
      </c>
      <c r="E40" s="11" t="s">
        <v>108</v>
      </c>
      <c r="F40" s="11" t="s">
        <v>109</v>
      </c>
      <c r="G40" s="9"/>
      <c r="H40" s="11"/>
      <c r="I40" s="9"/>
      <c r="J40" s="10"/>
      <c r="K40" s="9"/>
      <c r="L40" s="9" t="s">
        <v>35</v>
      </c>
      <c r="N40" s="0" t="str">
        <f aca="false">IF($G40="Não Conforme",COUNTIF($G$2:$G40,"Não Conforme"),"")</f>
        <v/>
      </c>
    </row>
    <row r="41" customFormat="false" ht="23.25" hidden="false" customHeight="true" outlineLevel="0" collapsed="false">
      <c r="A41" s="9" t="s">
        <v>88</v>
      </c>
      <c r="B41" s="10" t="s">
        <v>31</v>
      </c>
      <c r="C41" s="11" t="s">
        <v>89</v>
      </c>
      <c r="D41" s="9" t="n">
        <v>11</v>
      </c>
      <c r="E41" s="11" t="s">
        <v>110</v>
      </c>
      <c r="F41" s="11" t="s">
        <v>111</v>
      </c>
      <c r="G41" s="9"/>
      <c r="H41" s="11"/>
      <c r="I41" s="9"/>
      <c r="J41" s="10"/>
      <c r="K41" s="9"/>
      <c r="L41" s="9" t="s">
        <v>35</v>
      </c>
      <c r="N41" s="0" t="str">
        <f aca="false">IF($G41="Não Conforme",COUNTIF($G$2:$G41,"Não Conforme"),"")</f>
        <v/>
      </c>
    </row>
    <row r="42" customFormat="false" ht="23.25" hidden="false" customHeight="true" outlineLevel="0" collapsed="false">
      <c r="A42" s="9" t="s">
        <v>88</v>
      </c>
      <c r="B42" s="10" t="s">
        <v>31</v>
      </c>
      <c r="C42" s="11" t="s">
        <v>89</v>
      </c>
      <c r="D42" s="9" t="n">
        <v>12</v>
      </c>
      <c r="E42" s="11" t="s">
        <v>112</v>
      </c>
      <c r="F42" s="11" t="s">
        <v>113</v>
      </c>
      <c r="G42" s="9"/>
      <c r="H42" s="11"/>
      <c r="I42" s="9"/>
      <c r="J42" s="10"/>
      <c r="K42" s="9"/>
      <c r="L42" s="9" t="s">
        <v>35</v>
      </c>
      <c r="N42" s="0" t="str">
        <f aca="false">IF($G42="Não Conforme",COUNTIF($G$2:$G42,"Não Conforme"),"")</f>
        <v/>
      </c>
    </row>
    <row r="43" customFormat="false" ht="23.25" hidden="false" customHeight="true" outlineLevel="0" collapsed="false">
      <c r="A43" s="9" t="s">
        <v>88</v>
      </c>
      <c r="B43" s="10" t="s">
        <v>31</v>
      </c>
      <c r="C43" s="11" t="s">
        <v>89</v>
      </c>
      <c r="D43" s="9" t="n">
        <v>13</v>
      </c>
      <c r="E43" s="11" t="s">
        <v>114</v>
      </c>
      <c r="F43" s="11" t="s">
        <v>115</v>
      </c>
      <c r="G43" s="9"/>
      <c r="H43" s="11"/>
      <c r="I43" s="9"/>
      <c r="J43" s="10"/>
      <c r="K43" s="9"/>
      <c r="L43" s="9" t="s">
        <v>35</v>
      </c>
      <c r="N43" s="0" t="str">
        <f aca="false">IF($G43="Não Conforme",COUNTIF($G$2:$G43,"Não Conforme"),"")</f>
        <v/>
      </c>
    </row>
    <row r="44" customFormat="false" ht="15" hidden="false" customHeight="true" outlineLevel="0" collapsed="false">
      <c r="A44" s="7" t="s">
        <v>116</v>
      </c>
      <c r="B44" s="7" t="s">
        <v>31</v>
      </c>
      <c r="C44" s="7" t="s">
        <v>117</v>
      </c>
      <c r="D44" s="8"/>
      <c r="E44" s="8"/>
      <c r="F44" s="8"/>
      <c r="G44" s="8"/>
      <c r="H44" s="8"/>
      <c r="I44" s="8"/>
      <c r="J44" s="8"/>
      <c r="K44" s="8"/>
      <c r="L44" s="8"/>
      <c r="N44" s="0" t="str">
        <f aca="false">IF($G44="Não Conforme",COUNTIF($G$2:$G44,"Não Conforme"),"")</f>
        <v/>
      </c>
    </row>
    <row r="45" customFormat="false" ht="23.25" hidden="false" customHeight="true" outlineLevel="0" collapsed="false">
      <c r="A45" s="9" t="s">
        <v>116</v>
      </c>
      <c r="B45" s="10" t="s">
        <v>31</v>
      </c>
      <c r="C45" s="11" t="s">
        <v>117</v>
      </c>
      <c r="D45" s="9" t="n">
        <v>1</v>
      </c>
      <c r="E45" s="11" t="s">
        <v>118</v>
      </c>
      <c r="F45" s="11" t="s">
        <v>119</v>
      </c>
      <c r="G45" s="9"/>
      <c r="H45" s="11"/>
      <c r="I45" s="9"/>
      <c r="J45" s="10"/>
      <c r="K45" s="9"/>
      <c r="L45" s="9" t="s">
        <v>35</v>
      </c>
      <c r="N45" s="0" t="str">
        <f aca="false">IF($G45="Não Conforme",COUNTIF($G$2:$G45,"Não Conforme"),"")</f>
        <v/>
      </c>
    </row>
    <row r="46" customFormat="false" ht="23.25" hidden="false" customHeight="true" outlineLevel="0" collapsed="false">
      <c r="A46" s="9" t="s">
        <v>116</v>
      </c>
      <c r="B46" s="10" t="s">
        <v>31</v>
      </c>
      <c r="C46" s="11" t="s">
        <v>117</v>
      </c>
      <c r="D46" s="9" t="n">
        <v>2</v>
      </c>
      <c r="E46" s="11" t="s">
        <v>120</v>
      </c>
      <c r="F46" s="11" t="s">
        <v>121</v>
      </c>
      <c r="G46" s="9"/>
      <c r="H46" s="11"/>
      <c r="I46" s="9"/>
      <c r="J46" s="10"/>
      <c r="K46" s="9"/>
      <c r="L46" s="9" t="s">
        <v>35</v>
      </c>
      <c r="N46" s="0" t="str">
        <f aca="false">IF($G46="Não Conforme",COUNTIF($G$2:$G46,"Não Conforme"),"")</f>
        <v/>
      </c>
    </row>
    <row r="47" customFormat="false" ht="23.25" hidden="false" customHeight="true" outlineLevel="0" collapsed="false">
      <c r="A47" s="9" t="s">
        <v>116</v>
      </c>
      <c r="B47" s="10" t="s">
        <v>31</v>
      </c>
      <c r="C47" s="11" t="s">
        <v>117</v>
      </c>
      <c r="D47" s="9" t="n">
        <v>3</v>
      </c>
      <c r="E47" s="11" t="s">
        <v>122</v>
      </c>
      <c r="F47" s="11" t="s">
        <v>123</v>
      </c>
      <c r="G47" s="9"/>
      <c r="H47" s="11"/>
      <c r="I47" s="9"/>
      <c r="J47" s="10"/>
      <c r="K47" s="9"/>
      <c r="L47" s="9" t="s">
        <v>35</v>
      </c>
      <c r="N47" s="0" t="str">
        <f aca="false">IF($G47="Não Conforme",COUNTIF($G$2:$G47,"Não Conforme"),"")</f>
        <v/>
      </c>
    </row>
    <row r="48" customFormat="false" ht="23.25" hidden="false" customHeight="true" outlineLevel="0" collapsed="false">
      <c r="A48" s="9" t="s">
        <v>116</v>
      </c>
      <c r="B48" s="10" t="s">
        <v>31</v>
      </c>
      <c r="C48" s="11" t="s">
        <v>117</v>
      </c>
      <c r="D48" s="9" t="n">
        <v>4</v>
      </c>
      <c r="E48" s="11" t="s">
        <v>124</v>
      </c>
      <c r="F48" s="11" t="s">
        <v>125</v>
      </c>
      <c r="G48" s="9"/>
      <c r="H48" s="11"/>
      <c r="I48" s="9"/>
      <c r="J48" s="10"/>
      <c r="K48" s="9"/>
      <c r="L48" s="9" t="s">
        <v>35</v>
      </c>
      <c r="N48" s="0" t="str">
        <f aca="false">IF($G48="Não Conforme",COUNTIF($G$2:$G48,"Não Conforme"),"")</f>
        <v/>
      </c>
    </row>
    <row r="49" customFormat="false" ht="23.25" hidden="false" customHeight="true" outlineLevel="0" collapsed="false">
      <c r="A49" s="9" t="s">
        <v>116</v>
      </c>
      <c r="B49" s="10" t="s">
        <v>31</v>
      </c>
      <c r="C49" s="11" t="s">
        <v>117</v>
      </c>
      <c r="D49" s="9" t="n">
        <v>5</v>
      </c>
      <c r="E49" s="11" t="s">
        <v>126</v>
      </c>
      <c r="F49" s="11" t="s">
        <v>127</v>
      </c>
      <c r="G49" s="9"/>
      <c r="H49" s="11"/>
      <c r="I49" s="9"/>
      <c r="J49" s="10"/>
      <c r="K49" s="9"/>
      <c r="L49" s="9" t="s">
        <v>35</v>
      </c>
      <c r="N49" s="0" t="str">
        <f aca="false">IF($G49="Não Conforme",COUNTIF($G$2:$G49,"Não Conforme"),"")</f>
        <v/>
      </c>
    </row>
    <row r="50" customFormat="false" ht="23.25" hidden="false" customHeight="true" outlineLevel="0" collapsed="false">
      <c r="A50" s="9" t="s">
        <v>116</v>
      </c>
      <c r="B50" s="10" t="s">
        <v>31</v>
      </c>
      <c r="C50" s="11" t="s">
        <v>117</v>
      </c>
      <c r="D50" s="9" t="n">
        <v>6</v>
      </c>
      <c r="E50" s="11" t="s">
        <v>128</v>
      </c>
      <c r="F50" s="11" t="s">
        <v>129</v>
      </c>
      <c r="G50" s="9"/>
      <c r="H50" s="11"/>
      <c r="I50" s="9"/>
      <c r="J50" s="10"/>
      <c r="K50" s="9"/>
      <c r="L50" s="9" t="s">
        <v>35</v>
      </c>
      <c r="N50" s="0" t="str">
        <f aca="false">IF($G50="Não Conforme",COUNTIF($G$2:$G50,"Não Conforme"),"")</f>
        <v/>
      </c>
    </row>
    <row r="51" customFormat="false" ht="23.25" hidden="false" customHeight="true" outlineLevel="0" collapsed="false">
      <c r="A51" s="9" t="s">
        <v>116</v>
      </c>
      <c r="B51" s="10" t="s">
        <v>31</v>
      </c>
      <c r="C51" s="11" t="s">
        <v>117</v>
      </c>
      <c r="D51" s="9" t="n">
        <v>7</v>
      </c>
      <c r="E51" s="11" t="s">
        <v>130</v>
      </c>
      <c r="F51" s="11" t="s">
        <v>131</v>
      </c>
      <c r="G51" s="9"/>
      <c r="H51" s="11"/>
      <c r="I51" s="9"/>
      <c r="J51" s="10"/>
      <c r="K51" s="9"/>
      <c r="L51" s="9" t="s">
        <v>35</v>
      </c>
      <c r="N51" s="0" t="str">
        <f aca="false">IF($G51="Não Conforme",COUNTIF($G$2:$G51,"Não Conforme"),"")</f>
        <v/>
      </c>
    </row>
    <row r="52" customFormat="false" ht="23.25" hidden="false" customHeight="true" outlineLevel="0" collapsed="false">
      <c r="A52" s="9" t="s">
        <v>116</v>
      </c>
      <c r="B52" s="10" t="s">
        <v>31</v>
      </c>
      <c r="C52" s="11" t="s">
        <v>117</v>
      </c>
      <c r="D52" s="9" t="n">
        <v>8</v>
      </c>
      <c r="E52" s="11" t="s">
        <v>132</v>
      </c>
      <c r="F52" s="11" t="s">
        <v>133</v>
      </c>
      <c r="G52" s="9"/>
      <c r="H52" s="11"/>
      <c r="I52" s="9"/>
      <c r="J52" s="10"/>
      <c r="K52" s="9"/>
      <c r="L52" s="9" t="s">
        <v>35</v>
      </c>
      <c r="N52" s="0" t="str">
        <f aca="false">IF($G52="Não Conforme",COUNTIF($G$2:$G52,"Não Conforme"),"")</f>
        <v/>
      </c>
    </row>
    <row r="53" customFormat="false" ht="23.25" hidden="false" customHeight="true" outlineLevel="0" collapsed="false">
      <c r="A53" s="9" t="s">
        <v>116</v>
      </c>
      <c r="B53" s="10" t="s">
        <v>31</v>
      </c>
      <c r="C53" s="11" t="s">
        <v>117</v>
      </c>
      <c r="D53" s="9" t="n">
        <v>9</v>
      </c>
      <c r="E53" s="11" t="s">
        <v>134</v>
      </c>
      <c r="F53" s="11" t="s">
        <v>135</v>
      </c>
      <c r="G53" s="9"/>
      <c r="H53" s="11"/>
      <c r="I53" s="9"/>
      <c r="J53" s="10"/>
      <c r="K53" s="9"/>
      <c r="L53" s="9" t="s">
        <v>35</v>
      </c>
      <c r="N53" s="0" t="str">
        <f aca="false">IF($G53="Não Conforme",COUNTIF($G$2:$G53,"Não Conforme"),"")</f>
        <v/>
      </c>
    </row>
    <row r="54" customFormat="false" ht="23.25" hidden="false" customHeight="true" outlineLevel="0" collapsed="false">
      <c r="A54" s="9" t="s">
        <v>116</v>
      </c>
      <c r="B54" s="10" t="s">
        <v>31</v>
      </c>
      <c r="C54" s="11" t="s">
        <v>117</v>
      </c>
      <c r="D54" s="9" t="n">
        <v>10</v>
      </c>
      <c r="E54" s="11" t="s">
        <v>136</v>
      </c>
      <c r="F54" s="11" t="s">
        <v>137</v>
      </c>
      <c r="G54" s="9"/>
      <c r="H54" s="11"/>
      <c r="I54" s="9"/>
      <c r="J54" s="10"/>
      <c r="K54" s="9"/>
      <c r="L54" s="9" t="s">
        <v>35</v>
      </c>
      <c r="N54" s="0" t="str">
        <f aca="false">IF($G54="Não Conforme",COUNTIF($G$2:$G54,"Não Conforme"),"")</f>
        <v/>
      </c>
    </row>
    <row r="55" customFormat="false" ht="23.25" hidden="false" customHeight="true" outlineLevel="0" collapsed="false">
      <c r="A55" s="9" t="s">
        <v>116</v>
      </c>
      <c r="B55" s="10" t="s">
        <v>31</v>
      </c>
      <c r="C55" s="11" t="s">
        <v>117</v>
      </c>
      <c r="D55" s="9" t="n">
        <v>11</v>
      </c>
      <c r="E55" s="11" t="s">
        <v>138</v>
      </c>
      <c r="F55" s="11" t="s">
        <v>139</v>
      </c>
      <c r="G55" s="9"/>
      <c r="H55" s="11"/>
      <c r="I55" s="9"/>
      <c r="J55" s="10"/>
      <c r="K55" s="9"/>
      <c r="L55" s="9" t="s">
        <v>35</v>
      </c>
      <c r="N55" s="0" t="str">
        <f aca="false">IF($G55="Não Conforme",COUNTIF($G$2:$G55,"Não Conforme"),"")</f>
        <v/>
      </c>
    </row>
    <row r="56" customFormat="false" ht="23.25" hidden="false" customHeight="true" outlineLevel="0" collapsed="false">
      <c r="A56" s="9" t="s">
        <v>116</v>
      </c>
      <c r="B56" s="10" t="s">
        <v>31</v>
      </c>
      <c r="C56" s="11" t="s">
        <v>117</v>
      </c>
      <c r="D56" s="9" t="n">
        <v>12</v>
      </c>
      <c r="E56" s="11" t="s">
        <v>140</v>
      </c>
      <c r="F56" s="11" t="s">
        <v>141</v>
      </c>
      <c r="G56" s="9"/>
      <c r="H56" s="11"/>
      <c r="I56" s="9"/>
      <c r="J56" s="10"/>
      <c r="K56" s="9"/>
      <c r="L56" s="9" t="s">
        <v>35</v>
      </c>
      <c r="N56" s="0" t="str">
        <f aca="false">IF($G56="Não Conforme",COUNTIF($G$2:$G56,"Não Conforme"),"")</f>
        <v/>
      </c>
    </row>
    <row r="57" customFormat="false" ht="23.25" hidden="false" customHeight="true" outlineLevel="0" collapsed="false">
      <c r="A57" s="9" t="s">
        <v>116</v>
      </c>
      <c r="B57" s="10" t="s">
        <v>31</v>
      </c>
      <c r="C57" s="11" t="s">
        <v>117</v>
      </c>
      <c r="D57" s="9" t="n">
        <v>13</v>
      </c>
      <c r="E57" s="11" t="s">
        <v>142</v>
      </c>
      <c r="F57" s="11" t="s">
        <v>143</v>
      </c>
      <c r="G57" s="9"/>
      <c r="H57" s="11"/>
      <c r="I57" s="9"/>
      <c r="J57" s="10"/>
      <c r="K57" s="9"/>
      <c r="L57" s="9" t="s">
        <v>35</v>
      </c>
      <c r="N57" s="0" t="str">
        <f aca="false">IF($G57="Não Conforme",COUNTIF($G$2:$G57,"Não Conforme"),"")</f>
        <v/>
      </c>
    </row>
    <row r="58" customFormat="false" ht="15" hidden="false" customHeight="true" outlineLevel="0" collapsed="false">
      <c r="A58" s="7" t="s">
        <v>144</v>
      </c>
      <c r="B58" s="7" t="s">
        <v>31</v>
      </c>
      <c r="C58" s="7" t="s">
        <v>145</v>
      </c>
      <c r="D58" s="8"/>
      <c r="E58" s="8"/>
      <c r="F58" s="8"/>
      <c r="G58" s="8"/>
      <c r="H58" s="8"/>
      <c r="I58" s="8"/>
      <c r="J58" s="8"/>
      <c r="K58" s="8"/>
      <c r="L58" s="8"/>
      <c r="N58" s="0" t="str">
        <f aca="false">IF($G58="Não Conforme",COUNTIF($G$2:$G58,"Não Conforme"),"")</f>
        <v/>
      </c>
    </row>
    <row r="59" customFormat="false" ht="15" hidden="false" customHeight="true" outlineLevel="0" collapsed="false">
      <c r="A59" s="9" t="s">
        <v>144</v>
      </c>
      <c r="B59" s="10" t="s">
        <v>31</v>
      </c>
      <c r="C59" s="11" t="s">
        <v>145</v>
      </c>
      <c r="D59" s="9" t="n">
        <v>1</v>
      </c>
      <c r="E59" s="11" t="s">
        <v>146</v>
      </c>
      <c r="F59" s="11" t="s">
        <v>147</v>
      </c>
      <c r="G59" s="9"/>
      <c r="H59" s="11"/>
      <c r="I59" s="9"/>
      <c r="J59" s="10"/>
      <c r="K59" s="9"/>
      <c r="L59" s="9" t="s">
        <v>35</v>
      </c>
      <c r="N59" s="0" t="str">
        <f aca="false">IF($G59="Não Conforme",COUNTIF($G$2:$G59,"Não Conforme"),"")</f>
        <v/>
      </c>
    </row>
    <row r="60" customFormat="false" ht="15" hidden="false" customHeight="true" outlineLevel="0" collapsed="false">
      <c r="A60" s="9" t="s">
        <v>144</v>
      </c>
      <c r="B60" s="10" t="s">
        <v>31</v>
      </c>
      <c r="C60" s="11" t="s">
        <v>145</v>
      </c>
      <c r="D60" s="9" t="n">
        <v>2</v>
      </c>
      <c r="E60" s="11" t="s">
        <v>148</v>
      </c>
      <c r="F60" s="11" t="s">
        <v>149</v>
      </c>
      <c r="G60" s="9"/>
      <c r="H60" s="11"/>
      <c r="I60" s="9"/>
      <c r="J60" s="10"/>
      <c r="K60" s="9"/>
      <c r="L60" s="9" t="s">
        <v>35</v>
      </c>
      <c r="N60" s="0" t="str">
        <f aca="false">IF($G60="Não Conforme",COUNTIF($G$2:$G60,"Não Conforme"),"")</f>
        <v/>
      </c>
    </row>
    <row r="61" customFormat="false" ht="15" hidden="false" customHeight="true" outlineLevel="0" collapsed="false">
      <c r="A61" s="9" t="s">
        <v>144</v>
      </c>
      <c r="B61" s="10" t="s">
        <v>31</v>
      </c>
      <c r="C61" s="11" t="s">
        <v>145</v>
      </c>
      <c r="D61" s="9" t="n">
        <v>3</v>
      </c>
      <c r="E61" s="11" t="s">
        <v>150</v>
      </c>
      <c r="F61" s="11" t="s">
        <v>151</v>
      </c>
      <c r="G61" s="9"/>
      <c r="H61" s="11"/>
      <c r="I61" s="9"/>
      <c r="J61" s="10"/>
      <c r="K61" s="9"/>
      <c r="L61" s="9" t="s">
        <v>35</v>
      </c>
      <c r="N61" s="0" t="str">
        <f aca="false">IF($G61="Não Conforme",COUNTIF($G$2:$G61,"Não Conforme"),"")</f>
        <v/>
      </c>
    </row>
    <row r="62" customFormat="false" ht="15" hidden="false" customHeight="true" outlineLevel="0" collapsed="false">
      <c r="A62" s="9" t="s">
        <v>144</v>
      </c>
      <c r="B62" s="10" t="s">
        <v>31</v>
      </c>
      <c r="C62" s="11" t="s">
        <v>145</v>
      </c>
      <c r="D62" s="9" t="n">
        <v>4</v>
      </c>
      <c r="E62" s="11" t="s">
        <v>152</v>
      </c>
      <c r="F62" s="11" t="s">
        <v>153</v>
      </c>
      <c r="G62" s="9"/>
      <c r="H62" s="11"/>
      <c r="I62" s="9"/>
      <c r="J62" s="10"/>
      <c r="K62" s="9"/>
      <c r="L62" s="9" t="s">
        <v>35</v>
      </c>
      <c r="N62" s="0" t="str">
        <f aca="false">IF($G62="Não Conforme",COUNTIF($G$2:$G62,"Não Conforme"),"")</f>
        <v/>
      </c>
    </row>
    <row r="63" customFormat="false" ht="15" hidden="false" customHeight="true" outlineLevel="0" collapsed="false">
      <c r="A63" s="9" t="s">
        <v>144</v>
      </c>
      <c r="B63" s="10" t="s">
        <v>31</v>
      </c>
      <c r="C63" s="11" t="s">
        <v>145</v>
      </c>
      <c r="D63" s="9" t="n">
        <v>5</v>
      </c>
      <c r="E63" s="11" t="s">
        <v>154</v>
      </c>
      <c r="F63" s="11" t="s">
        <v>155</v>
      </c>
      <c r="G63" s="9"/>
      <c r="H63" s="11"/>
      <c r="I63" s="9"/>
      <c r="J63" s="10"/>
      <c r="K63" s="9"/>
      <c r="L63" s="9" t="s">
        <v>35</v>
      </c>
      <c r="N63" s="0" t="str">
        <f aca="false">IF($G63="Não Conforme",COUNTIF($G$2:$G63,"Não Conforme"),"")</f>
        <v/>
      </c>
    </row>
    <row r="64" customFormat="false" ht="15" hidden="false" customHeight="true" outlineLevel="0" collapsed="false">
      <c r="A64" s="9" t="s">
        <v>144</v>
      </c>
      <c r="B64" s="10" t="s">
        <v>31</v>
      </c>
      <c r="C64" s="11" t="s">
        <v>145</v>
      </c>
      <c r="D64" s="9" t="n">
        <v>6</v>
      </c>
      <c r="E64" s="11" t="s">
        <v>156</v>
      </c>
      <c r="F64" s="11" t="s">
        <v>157</v>
      </c>
      <c r="G64" s="9"/>
      <c r="H64" s="11"/>
      <c r="I64" s="9"/>
      <c r="J64" s="10"/>
      <c r="K64" s="9"/>
      <c r="L64" s="9" t="s">
        <v>35</v>
      </c>
      <c r="N64" s="0" t="str">
        <f aca="false">IF($G64="Não Conforme",COUNTIF($G$2:$G64,"Não Conforme"),"")</f>
        <v/>
      </c>
    </row>
    <row r="65" customFormat="false" ht="15" hidden="false" customHeight="true" outlineLevel="0" collapsed="false">
      <c r="A65" s="9" t="s">
        <v>144</v>
      </c>
      <c r="B65" s="10" t="s">
        <v>31</v>
      </c>
      <c r="C65" s="11" t="s">
        <v>145</v>
      </c>
      <c r="D65" s="9" t="n">
        <v>7</v>
      </c>
      <c r="E65" s="11" t="s">
        <v>158</v>
      </c>
      <c r="F65" s="11" t="s">
        <v>159</v>
      </c>
      <c r="G65" s="9"/>
      <c r="H65" s="11"/>
      <c r="I65" s="9"/>
      <c r="J65" s="10"/>
      <c r="K65" s="9"/>
      <c r="L65" s="9" t="s">
        <v>35</v>
      </c>
      <c r="N65" s="0" t="str">
        <f aca="false">IF($G65="Não Conforme",COUNTIF($G$2:$G65,"Não Conforme"),"")</f>
        <v/>
      </c>
    </row>
    <row r="66" customFormat="false" ht="15" hidden="false" customHeight="true" outlineLevel="0" collapsed="false">
      <c r="A66" s="9" t="s">
        <v>144</v>
      </c>
      <c r="B66" s="10" t="s">
        <v>31</v>
      </c>
      <c r="C66" s="11" t="s">
        <v>145</v>
      </c>
      <c r="D66" s="9" t="n">
        <v>8</v>
      </c>
      <c r="E66" s="11" t="s">
        <v>160</v>
      </c>
      <c r="F66" s="11" t="s">
        <v>161</v>
      </c>
      <c r="G66" s="9"/>
      <c r="H66" s="11"/>
      <c r="I66" s="9"/>
      <c r="J66" s="10"/>
      <c r="K66" s="9"/>
      <c r="L66" s="9" t="s">
        <v>35</v>
      </c>
      <c r="N66" s="0" t="str">
        <f aca="false">IF($G66="Não Conforme",COUNTIF($G$2:$G66,"Não Conforme"),"")</f>
        <v/>
      </c>
    </row>
    <row r="67" customFormat="false" ht="15" hidden="false" customHeight="true" outlineLevel="0" collapsed="false">
      <c r="A67" s="9" t="s">
        <v>144</v>
      </c>
      <c r="B67" s="10" t="s">
        <v>31</v>
      </c>
      <c r="C67" s="11" t="s">
        <v>145</v>
      </c>
      <c r="D67" s="9" t="n">
        <v>9</v>
      </c>
      <c r="E67" s="11" t="s">
        <v>162</v>
      </c>
      <c r="F67" s="11" t="s">
        <v>163</v>
      </c>
      <c r="G67" s="9"/>
      <c r="H67" s="11"/>
      <c r="I67" s="9"/>
      <c r="J67" s="10"/>
      <c r="K67" s="9"/>
      <c r="L67" s="9" t="s">
        <v>35</v>
      </c>
      <c r="N67" s="0" t="str">
        <f aca="false">IF($G67="Não Conforme",COUNTIF($G$2:$G67,"Não Conforme"),"")</f>
        <v/>
      </c>
    </row>
    <row r="68" customFormat="false" ht="15" hidden="false" customHeight="true" outlineLevel="0" collapsed="false">
      <c r="A68" s="9" t="s">
        <v>144</v>
      </c>
      <c r="B68" s="10" t="s">
        <v>31</v>
      </c>
      <c r="C68" s="11" t="s">
        <v>145</v>
      </c>
      <c r="D68" s="9" t="n">
        <v>10</v>
      </c>
      <c r="E68" s="11" t="s">
        <v>164</v>
      </c>
      <c r="F68" s="11" t="s">
        <v>165</v>
      </c>
      <c r="G68" s="9"/>
      <c r="H68" s="11"/>
      <c r="I68" s="9"/>
      <c r="J68" s="10"/>
      <c r="K68" s="9"/>
      <c r="L68" s="9" t="s">
        <v>35</v>
      </c>
      <c r="N68" s="0" t="str">
        <f aca="false">IF($G68="Não Conforme",COUNTIF($G$2:$G68,"Não Conforme"),"")</f>
        <v/>
      </c>
    </row>
    <row r="69" customFormat="false" ht="15" hidden="false" customHeight="true" outlineLevel="0" collapsed="false">
      <c r="A69" s="7" t="s">
        <v>166</v>
      </c>
      <c r="B69" s="7" t="s">
        <v>31</v>
      </c>
      <c r="C69" s="7" t="s">
        <v>167</v>
      </c>
      <c r="D69" s="8"/>
      <c r="E69" s="8"/>
      <c r="F69" s="8"/>
      <c r="G69" s="8"/>
      <c r="H69" s="8"/>
      <c r="I69" s="8"/>
      <c r="J69" s="8"/>
      <c r="K69" s="8"/>
      <c r="L69" s="8"/>
      <c r="N69" s="0" t="str">
        <f aca="false">IF($G69="Não Conforme",COUNTIF($G$2:$G69,"Não Conforme"),"")</f>
        <v/>
      </c>
    </row>
    <row r="70" customFormat="false" ht="23.25" hidden="false" customHeight="true" outlineLevel="0" collapsed="false">
      <c r="A70" s="9" t="s">
        <v>166</v>
      </c>
      <c r="B70" s="10" t="s">
        <v>31</v>
      </c>
      <c r="C70" s="11" t="s">
        <v>167</v>
      </c>
      <c r="D70" s="9" t="n">
        <v>1</v>
      </c>
      <c r="E70" s="11" t="s">
        <v>168</v>
      </c>
      <c r="F70" s="11" t="s">
        <v>169</v>
      </c>
      <c r="G70" s="9"/>
      <c r="H70" s="11"/>
      <c r="I70" s="9"/>
      <c r="J70" s="10"/>
      <c r="K70" s="9"/>
      <c r="L70" s="9" t="s">
        <v>35</v>
      </c>
      <c r="N70" s="0" t="str">
        <f aca="false">IF($G70="Não Conforme",COUNTIF($G$2:$G70,"Não Conforme"),"")</f>
        <v/>
      </c>
    </row>
    <row r="71" customFormat="false" ht="23.25" hidden="false" customHeight="true" outlineLevel="0" collapsed="false">
      <c r="A71" s="9" t="s">
        <v>166</v>
      </c>
      <c r="B71" s="10" t="s">
        <v>31</v>
      </c>
      <c r="C71" s="11" t="s">
        <v>167</v>
      </c>
      <c r="D71" s="9" t="n">
        <v>2</v>
      </c>
      <c r="E71" s="11" t="s">
        <v>170</v>
      </c>
      <c r="F71" s="11" t="s">
        <v>171</v>
      </c>
      <c r="G71" s="9"/>
      <c r="H71" s="11"/>
      <c r="I71" s="9"/>
      <c r="J71" s="10"/>
      <c r="K71" s="9"/>
      <c r="L71" s="9" t="s">
        <v>35</v>
      </c>
      <c r="N71" s="0" t="str">
        <f aca="false">IF($G71="Não Conforme",COUNTIF($G$2:$G71,"Não Conforme"),"")</f>
        <v/>
      </c>
    </row>
    <row r="72" customFormat="false" ht="23.25" hidden="false" customHeight="true" outlineLevel="0" collapsed="false">
      <c r="A72" s="9" t="s">
        <v>166</v>
      </c>
      <c r="B72" s="10" t="s">
        <v>31</v>
      </c>
      <c r="C72" s="11" t="s">
        <v>167</v>
      </c>
      <c r="D72" s="9" t="n">
        <v>3</v>
      </c>
      <c r="E72" s="11" t="s">
        <v>172</v>
      </c>
      <c r="F72" s="11" t="s">
        <v>173</v>
      </c>
      <c r="G72" s="9"/>
      <c r="H72" s="11"/>
      <c r="I72" s="9"/>
      <c r="J72" s="10"/>
      <c r="K72" s="9"/>
      <c r="L72" s="9" t="s">
        <v>35</v>
      </c>
      <c r="N72" s="0" t="str">
        <f aca="false">IF($G72="Não Conforme",COUNTIF($G$2:$G72,"Não Conforme"),"")</f>
        <v/>
      </c>
    </row>
    <row r="73" customFormat="false" ht="23.25" hidden="false" customHeight="true" outlineLevel="0" collapsed="false">
      <c r="A73" s="9" t="s">
        <v>166</v>
      </c>
      <c r="B73" s="10" t="s">
        <v>31</v>
      </c>
      <c r="C73" s="11" t="s">
        <v>167</v>
      </c>
      <c r="D73" s="9" t="n">
        <v>4</v>
      </c>
      <c r="E73" s="11" t="s">
        <v>174</v>
      </c>
      <c r="F73" s="11" t="s">
        <v>175</v>
      </c>
      <c r="G73" s="9"/>
      <c r="H73" s="11"/>
      <c r="I73" s="9"/>
      <c r="J73" s="10"/>
      <c r="K73" s="9"/>
      <c r="L73" s="9" t="s">
        <v>35</v>
      </c>
      <c r="N73" s="0" t="str">
        <f aca="false">IF($G73="Não Conforme",COUNTIF($G$2:$G73,"Não Conforme"),"")</f>
        <v/>
      </c>
    </row>
    <row r="74" customFormat="false" ht="23.25" hidden="false" customHeight="true" outlineLevel="0" collapsed="false">
      <c r="A74" s="9" t="s">
        <v>166</v>
      </c>
      <c r="B74" s="10" t="s">
        <v>31</v>
      </c>
      <c r="C74" s="11" t="s">
        <v>167</v>
      </c>
      <c r="D74" s="9" t="n">
        <v>5</v>
      </c>
      <c r="E74" s="11" t="s">
        <v>176</v>
      </c>
      <c r="F74" s="11" t="s">
        <v>177</v>
      </c>
      <c r="G74" s="9"/>
      <c r="H74" s="11"/>
      <c r="I74" s="9"/>
      <c r="J74" s="10"/>
      <c r="K74" s="9"/>
      <c r="L74" s="9" t="s">
        <v>35</v>
      </c>
      <c r="N74" s="0" t="str">
        <f aca="false">IF($G74="Não Conforme",COUNTIF($G$2:$G74,"Não Conforme"),"")</f>
        <v/>
      </c>
    </row>
    <row r="75" customFormat="false" ht="23.25" hidden="false" customHeight="true" outlineLevel="0" collapsed="false">
      <c r="A75" s="9" t="s">
        <v>166</v>
      </c>
      <c r="B75" s="10" t="s">
        <v>31</v>
      </c>
      <c r="C75" s="11" t="s">
        <v>167</v>
      </c>
      <c r="D75" s="9" t="n">
        <v>6</v>
      </c>
      <c r="E75" s="11" t="s">
        <v>178</v>
      </c>
      <c r="F75" s="11" t="s">
        <v>179</v>
      </c>
      <c r="G75" s="9"/>
      <c r="H75" s="11"/>
      <c r="I75" s="9"/>
      <c r="J75" s="10"/>
      <c r="K75" s="9"/>
      <c r="L75" s="9" t="s">
        <v>35</v>
      </c>
      <c r="N75" s="0" t="str">
        <f aca="false">IF($G75="Não Conforme",COUNTIF($G$2:$G75,"Não Conforme"),"")</f>
        <v/>
      </c>
    </row>
    <row r="76" customFormat="false" ht="23.25" hidden="false" customHeight="true" outlineLevel="0" collapsed="false">
      <c r="A76" s="9" t="s">
        <v>166</v>
      </c>
      <c r="B76" s="10" t="s">
        <v>31</v>
      </c>
      <c r="C76" s="11" t="s">
        <v>167</v>
      </c>
      <c r="D76" s="9" t="n">
        <v>7</v>
      </c>
      <c r="E76" s="11" t="s">
        <v>180</v>
      </c>
      <c r="F76" s="11" t="s">
        <v>181</v>
      </c>
      <c r="G76" s="9"/>
      <c r="H76" s="11"/>
      <c r="I76" s="9"/>
      <c r="J76" s="10"/>
      <c r="K76" s="9"/>
      <c r="L76" s="9" t="s">
        <v>35</v>
      </c>
      <c r="N76" s="0" t="str">
        <f aca="false">IF($G76="Não Conforme",COUNTIF($G$2:$G76,"Não Conforme"),"")</f>
        <v/>
      </c>
    </row>
    <row r="77" customFormat="false" ht="23.25" hidden="false" customHeight="true" outlineLevel="0" collapsed="false">
      <c r="A77" s="9" t="s">
        <v>166</v>
      </c>
      <c r="B77" s="10" t="s">
        <v>31</v>
      </c>
      <c r="C77" s="11" t="s">
        <v>167</v>
      </c>
      <c r="D77" s="9" t="n">
        <v>8</v>
      </c>
      <c r="E77" s="11" t="s">
        <v>182</v>
      </c>
      <c r="F77" s="11" t="s">
        <v>183</v>
      </c>
      <c r="G77" s="9"/>
      <c r="H77" s="11"/>
      <c r="I77" s="9"/>
      <c r="J77" s="10"/>
      <c r="K77" s="9"/>
      <c r="L77" s="9" t="s">
        <v>35</v>
      </c>
      <c r="N77" s="0" t="str">
        <f aca="false">IF($G77="Não Conforme",COUNTIF($G$2:$G77,"Não Conforme"),"")</f>
        <v/>
      </c>
    </row>
    <row r="78" customFormat="false" ht="23.25" hidden="false" customHeight="true" outlineLevel="0" collapsed="false">
      <c r="A78" s="9" t="s">
        <v>166</v>
      </c>
      <c r="B78" s="10" t="s">
        <v>31</v>
      </c>
      <c r="C78" s="11" t="s">
        <v>167</v>
      </c>
      <c r="D78" s="9" t="n">
        <v>9</v>
      </c>
      <c r="E78" s="11" t="s">
        <v>184</v>
      </c>
      <c r="F78" s="11" t="s">
        <v>185</v>
      </c>
      <c r="G78" s="9"/>
      <c r="H78" s="11"/>
      <c r="I78" s="9"/>
      <c r="J78" s="10"/>
      <c r="K78" s="9"/>
      <c r="L78" s="9" t="s">
        <v>35</v>
      </c>
      <c r="N78" s="0" t="str">
        <f aca="false">IF($G78="Não Conforme",COUNTIF($G$2:$G78,"Não Conforme"),"")</f>
        <v/>
      </c>
    </row>
    <row r="79" customFormat="false" ht="23.25" hidden="false" customHeight="true" outlineLevel="0" collapsed="false">
      <c r="A79" s="9" t="s">
        <v>166</v>
      </c>
      <c r="B79" s="10" t="s">
        <v>31</v>
      </c>
      <c r="C79" s="11" t="s">
        <v>167</v>
      </c>
      <c r="D79" s="9" t="n">
        <v>10</v>
      </c>
      <c r="E79" s="11" t="s">
        <v>186</v>
      </c>
      <c r="F79" s="11" t="s">
        <v>187</v>
      </c>
      <c r="G79" s="9"/>
      <c r="H79" s="11"/>
      <c r="I79" s="9"/>
      <c r="J79" s="10"/>
      <c r="K79" s="9"/>
      <c r="L79" s="9" t="s">
        <v>35</v>
      </c>
      <c r="N79" s="0" t="str">
        <f aca="false">IF($G79="Não Conforme",COUNTIF($G$2:$G79,"Não Conforme"),"")</f>
        <v/>
      </c>
    </row>
    <row r="80" customFormat="false" ht="23.25" hidden="false" customHeight="true" outlineLevel="0" collapsed="false">
      <c r="A80" s="9" t="s">
        <v>166</v>
      </c>
      <c r="B80" s="10" t="s">
        <v>31</v>
      </c>
      <c r="C80" s="11" t="s">
        <v>167</v>
      </c>
      <c r="D80" s="9" t="n">
        <v>11</v>
      </c>
      <c r="E80" s="11" t="s">
        <v>188</v>
      </c>
      <c r="F80" s="11" t="s">
        <v>189</v>
      </c>
      <c r="G80" s="9"/>
      <c r="H80" s="11"/>
      <c r="I80" s="9"/>
      <c r="J80" s="10"/>
      <c r="K80" s="9"/>
      <c r="L80" s="9" t="s">
        <v>35</v>
      </c>
      <c r="N80" s="0" t="str">
        <f aca="false">IF($G80="Não Conforme",COUNTIF($G$2:$G80,"Não Conforme"),"")</f>
        <v/>
      </c>
    </row>
    <row r="81" customFormat="false" ht="23.25" hidden="false" customHeight="true" outlineLevel="0" collapsed="false">
      <c r="A81" s="9" t="s">
        <v>166</v>
      </c>
      <c r="B81" s="10" t="s">
        <v>31</v>
      </c>
      <c r="C81" s="11" t="s">
        <v>167</v>
      </c>
      <c r="D81" s="9" t="n">
        <v>12</v>
      </c>
      <c r="E81" s="11" t="s">
        <v>190</v>
      </c>
      <c r="F81" s="11" t="s">
        <v>191</v>
      </c>
      <c r="G81" s="9"/>
      <c r="H81" s="11"/>
      <c r="I81" s="9"/>
      <c r="J81" s="10"/>
      <c r="K81" s="9"/>
      <c r="L81" s="9" t="s">
        <v>35</v>
      </c>
      <c r="N81" s="0" t="str">
        <f aca="false">IF($G81="Não Conforme",COUNTIF($G$2:$G81,"Não Conforme"),"")</f>
        <v/>
      </c>
    </row>
    <row r="82" customFormat="false" ht="23.25" hidden="false" customHeight="true" outlineLevel="0" collapsed="false">
      <c r="A82" s="9" t="s">
        <v>166</v>
      </c>
      <c r="B82" s="10" t="s">
        <v>31</v>
      </c>
      <c r="C82" s="11" t="s">
        <v>167</v>
      </c>
      <c r="D82" s="9" t="n">
        <v>13</v>
      </c>
      <c r="E82" s="11" t="s">
        <v>192</v>
      </c>
      <c r="F82" s="11" t="s">
        <v>193</v>
      </c>
      <c r="G82" s="9"/>
      <c r="H82" s="11"/>
      <c r="I82" s="9"/>
      <c r="J82" s="10"/>
      <c r="K82" s="9"/>
      <c r="L82" s="9" t="s">
        <v>35</v>
      </c>
      <c r="N82" s="0" t="str">
        <f aca="false">IF($G82="Não Conforme",COUNTIF($G$2:$G82,"Não Conforme"),"")</f>
        <v/>
      </c>
    </row>
    <row r="83" customFormat="false" ht="23.25" hidden="false" customHeight="true" outlineLevel="0" collapsed="false">
      <c r="A83" s="9" t="s">
        <v>166</v>
      </c>
      <c r="B83" s="10" t="s">
        <v>31</v>
      </c>
      <c r="C83" s="11" t="s">
        <v>167</v>
      </c>
      <c r="D83" s="9" t="n">
        <v>14</v>
      </c>
      <c r="E83" s="11" t="s">
        <v>194</v>
      </c>
      <c r="F83" s="11" t="s">
        <v>195</v>
      </c>
      <c r="G83" s="9"/>
      <c r="H83" s="11"/>
      <c r="I83" s="9"/>
      <c r="J83" s="10"/>
      <c r="K83" s="9"/>
      <c r="L83" s="9" t="s">
        <v>35</v>
      </c>
      <c r="N83" s="0" t="str">
        <f aca="false">IF($G83="Não Conforme",COUNTIF($G$2:$G83,"Não Conforme"),"")</f>
        <v/>
      </c>
    </row>
    <row r="84" customFormat="false" ht="23.25" hidden="false" customHeight="true" outlineLevel="0" collapsed="false">
      <c r="A84" s="9" t="s">
        <v>166</v>
      </c>
      <c r="B84" s="10" t="s">
        <v>31</v>
      </c>
      <c r="C84" s="11" t="s">
        <v>167</v>
      </c>
      <c r="D84" s="9" t="n">
        <v>15</v>
      </c>
      <c r="E84" s="11" t="s">
        <v>196</v>
      </c>
      <c r="F84" s="11" t="s">
        <v>197</v>
      </c>
      <c r="G84" s="9"/>
      <c r="H84" s="11"/>
      <c r="I84" s="9"/>
      <c r="J84" s="10"/>
      <c r="K84" s="9"/>
      <c r="L84" s="9" t="s">
        <v>35</v>
      </c>
      <c r="N84" s="0" t="str">
        <f aca="false">IF($G84="Não Conforme",COUNTIF($G$2:$G84,"Não Conforme"),"")</f>
        <v/>
      </c>
    </row>
    <row r="85" customFormat="false" ht="23.25" hidden="false" customHeight="true" outlineLevel="0" collapsed="false">
      <c r="A85" s="9" t="s">
        <v>166</v>
      </c>
      <c r="B85" s="10" t="s">
        <v>31</v>
      </c>
      <c r="C85" s="11" t="s">
        <v>167</v>
      </c>
      <c r="D85" s="9" t="n">
        <v>16</v>
      </c>
      <c r="E85" s="11" t="s">
        <v>198</v>
      </c>
      <c r="F85" s="11" t="s">
        <v>199</v>
      </c>
      <c r="G85" s="9"/>
      <c r="H85" s="11"/>
      <c r="I85" s="9"/>
      <c r="J85" s="10"/>
      <c r="K85" s="9"/>
      <c r="L85" s="9" t="s">
        <v>35</v>
      </c>
      <c r="N85" s="0" t="str">
        <f aca="false">IF($G85="Não Conforme",COUNTIF($G$2:$G85,"Não Conforme"),"")</f>
        <v/>
      </c>
    </row>
    <row r="86" customFormat="false" ht="23.25" hidden="false" customHeight="true" outlineLevel="0" collapsed="false">
      <c r="A86" s="9" t="s">
        <v>166</v>
      </c>
      <c r="B86" s="10" t="s">
        <v>31</v>
      </c>
      <c r="C86" s="11" t="s">
        <v>167</v>
      </c>
      <c r="D86" s="9" t="n">
        <v>17</v>
      </c>
      <c r="E86" s="11" t="s">
        <v>200</v>
      </c>
      <c r="F86" s="11" t="s">
        <v>201</v>
      </c>
      <c r="G86" s="9"/>
      <c r="H86" s="11"/>
      <c r="I86" s="9"/>
      <c r="J86" s="10"/>
      <c r="K86" s="9"/>
      <c r="L86" s="9" t="s">
        <v>35</v>
      </c>
      <c r="N86" s="0" t="str">
        <f aca="false">IF($G86="Não Conforme",COUNTIF($G$2:$G86,"Não Conforme"),"")</f>
        <v/>
      </c>
    </row>
    <row r="87" customFormat="false" ht="23.25" hidden="false" customHeight="true" outlineLevel="0" collapsed="false">
      <c r="A87" s="9" t="s">
        <v>166</v>
      </c>
      <c r="B87" s="10" t="s">
        <v>31</v>
      </c>
      <c r="C87" s="11" t="s">
        <v>167</v>
      </c>
      <c r="D87" s="9" t="n">
        <v>18</v>
      </c>
      <c r="E87" s="11" t="s">
        <v>202</v>
      </c>
      <c r="F87" s="11" t="s">
        <v>203</v>
      </c>
      <c r="G87" s="9"/>
      <c r="H87" s="11"/>
      <c r="I87" s="9"/>
      <c r="J87" s="10"/>
      <c r="K87" s="9"/>
      <c r="L87" s="9" t="s">
        <v>35</v>
      </c>
      <c r="N87" s="0" t="str">
        <f aca="false">IF($G87="Não Conforme",COUNTIF($G$2:$G87,"Não Conforme"),"")</f>
        <v/>
      </c>
    </row>
    <row r="88" customFormat="false" ht="23.25" hidden="false" customHeight="true" outlineLevel="0" collapsed="false">
      <c r="A88" s="9" t="s">
        <v>166</v>
      </c>
      <c r="B88" s="10" t="s">
        <v>31</v>
      </c>
      <c r="C88" s="11" t="s">
        <v>167</v>
      </c>
      <c r="D88" s="9" t="n">
        <v>19</v>
      </c>
      <c r="E88" s="11" t="s">
        <v>204</v>
      </c>
      <c r="F88" s="11" t="s">
        <v>205</v>
      </c>
      <c r="G88" s="9"/>
      <c r="H88" s="11"/>
      <c r="I88" s="9"/>
      <c r="J88" s="10"/>
      <c r="K88" s="9"/>
      <c r="L88" s="9" t="s">
        <v>35</v>
      </c>
      <c r="N88" s="0" t="str">
        <f aca="false">IF($G88="Não Conforme",COUNTIF($G$2:$G88,"Não Conforme"),"")</f>
        <v/>
      </c>
    </row>
    <row r="89" customFormat="false" ht="23.25" hidden="false" customHeight="true" outlineLevel="0" collapsed="false">
      <c r="A89" s="9" t="s">
        <v>166</v>
      </c>
      <c r="B89" s="10" t="s">
        <v>31</v>
      </c>
      <c r="C89" s="11" t="s">
        <v>167</v>
      </c>
      <c r="D89" s="9" t="n">
        <v>20</v>
      </c>
      <c r="E89" s="11" t="s">
        <v>206</v>
      </c>
      <c r="F89" s="11" t="s">
        <v>207</v>
      </c>
      <c r="G89" s="9"/>
      <c r="H89" s="11"/>
      <c r="I89" s="9"/>
      <c r="J89" s="10"/>
      <c r="K89" s="9"/>
      <c r="L89" s="9" t="s">
        <v>35</v>
      </c>
      <c r="N89" s="0" t="str">
        <f aca="false">IF($G89="Não Conforme",COUNTIF($G$2:$G89,"Não Conforme"),"")</f>
        <v/>
      </c>
    </row>
    <row r="90" customFormat="false" ht="23.25" hidden="false" customHeight="true" outlineLevel="0" collapsed="false">
      <c r="A90" s="9" t="s">
        <v>166</v>
      </c>
      <c r="B90" s="10" t="s">
        <v>31</v>
      </c>
      <c r="C90" s="11" t="s">
        <v>167</v>
      </c>
      <c r="D90" s="9" t="n">
        <v>21</v>
      </c>
      <c r="E90" s="11" t="s">
        <v>208</v>
      </c>
      <c r="F90" s="11" t="s">
        <v>209</v>
      </c>
      <c r="G90" s="9"/>
      <c r="H90" s="11"/>
      <c r="I90" s="9"/>
      <c r="J90" s="10"/>
      <c r="K90" s="9"/>
      <c r="L90" s="9" t="s">
        <v>35</v>
      </c>
      <c r="N90" s="0" t="str">
        <f aca="false">IF($G90="Não Conforme",COUNTIF($G$2:$G90,"Não Conforme"),"")</f>
        <v/>
      </c>
    </row>
    <row r="91" customFormat="false" ht="15" hidden="false" customHeight="true" outlineLevel="0" collapsed="false">
      <c r="A91" s="7" t="s">
        <v>210</v>
      </c>
      <c r="B91" s="7" t="s">
        <v>31</v>
      </c>
      <c r="C91" s="7" t="s">
        <v>211</v>
      </c>
      <c r="D91" s="8"/>
      <c r="E91" s="8"/>
      <c r="F91" s="8"/>
      <c r="G91" s="8"/>
      <c r="H91" s="8"/>
      <c r="I91" s="8"/>
      <c r="J91" s="8"/>
      <c r="K91" s="8"/>
      <c r="L91" s="8"/>
      <c r="N91" s="0" t="str">
        <f aca="false">IF($G91="Não Conforme",COUNTIF($G$2:$G91,"Não Conforme"),"")</f>
        <v/>
      </c>
    </row>
    <row r="92" customFormat="false" ht="23.25" hidden="false" customHeight="true" outlineLevel="0" collapsed="false">
      <c r="A92" s="9" t="s">
        <v>210</v>
      </c>
      <c r="B92" s="10" t="s">
        <v>31</v>
      </c>
      <c r="C92" s="11" t="s">
        <v>211</v>
      </c>
      <c r="D92" s="9" t="n">
        <v>1</v>
      </c>
      <c r="E92" s="11" t="s">
        <v>212</v>
      </c>
      <c r="F92" s="11" t="s">
        <v>213</v>
      </c>
      <c r="G92" s="9"/>
      <c r="H92" s="11"/>
      <c r="I92" s="9"/>
      <c r="J92" s="10"/>
      <c r="K92" s="9"/>
      <c r="L92" s="9" t="s">
        <v>35</v>
      </c>
      <c r="N92" s="0" t="str">
        <f aca="false">IF($G92="Não Conforme",COUNTIF($G$2:$G92,"Não Conforme"),"")</f>
        <v/>
      </c>
    </row>
    <row r="93" customFormat="false" ht="15" hidden="false" customHeight="true" outlineLevel="0" collapsed="false">
      <c r="A93" s="9" t="s">
        <v>210</v>
      </c>
      <c r="B93" s="10" t="s">
        <v>31</v>
      </c>
      <c r="C93" s="11" t="s">
        <v>211</v>
      </c>
      <c r="D93" s="9" t="n">
        <v>2</v>
      </c>
      <c r="E93" s="11" t="s">
        <v>214</v>
      </c>
      <c r="F93" s="11" t="s">
        <v>215</v>
      </c>
      <c r="G93" s="9"/>
      <c r="H93" s="11"/>
      <c r="I93" s="9"/>
      <c r="J93" s="10"/>
      <c r="K93" s="9"/>
      <c r="L93" s="9" t="s">
        <v>35</v>
      </c>
      <c r="N93" s="0" t="str">
        <f aca="false">IF($G93="Não Conforme",COUNTIF($G$2:$G93,"Não Conforme"),"")</f>
        <v/>
      </c>
    </row>
    <row r="94" customFormat="false" ht="15" hidden="false" customHeight="true" outlineLevel="0" collapsed="false">
      <c r="A94" s="9" t="s">
        <v>210</v>
      </c>
      <c r="B94" s="10" t="s">
        <v>31</v>
      </c>
      <c r="C94" s="11" t="s">
        <v>211</v>
      </c>
      <c r="D94" s="9" t="n">
        <v>3</v>
      </c>
      <c r="E94" s="11" t="s">
        <v>216</v>
      </c>
      <c r="F94" s="11" t="s">
        <v>217</v>
      </c>
      <c r="G94" s="9"/>
      <c r="H94" s="11"/>
      <c r="I94" s="9"/>
      <c r="J94" s="10"/>
      <c r="K94" s="9"/>
      <c r="L94" s="9" t="s">
        <v>35</v>
      </c>
      <c r="N94" s="0" t="str">
        <f aca="false">IF($G94="Não Conforme",COUNTIF($G$2:$G94,"Não Conforme"),"")</f>
        <v/>
      </c>
    </row>
    <row r="95" customFormat="false" ht="15" hidden="false" customHeight="true" outlineLevel="0" collapsed="false">
      <c r="A95" s="9" t="s">
        <v>210</v>
      </c>
      <c r="B95" s="10" t="s">
        <v>31</v>
      </c>
      <c r="C95" s="11" t="s">
        <v>211</v>
      </c>
      <c r="D95" s="9" t="n">
        <v>4</v>
      </c>
      <c r="E95" s="11" t="s">
        <v>218</v>
      </c>
      <c r="F95" s="11" t="s">
        <v>219</v>
      </c>
      <c r="G95" s="9"/>
      <c r="H95" s="11"/>
      <c r="I95" s="9"/>
      <c r="J95" s="10"/>
      <c r="K95" s="9"/>
      <c r="L95" s="9" t="s">
        <v>35</v>
      </c>
      <c r="N95" s="0" t="str">
        <f aca="false">IF($G95="Não Conforme",COUNTIF($G$2:$G95,"Não Conforme"),"")</f>
        <v/>
      </c>
    </row>
    <row r="96" customFormat="false" ht="15" hidden="false" customHeight="true" outlineLevel="0" collapsed="false">
      <c r="A96" s="9" t="s">
        <v>210</v>
      </c>
      <c r="B96" s="10" t="s">
        <v>31</v>
      </c>
      <c r="C96" s="11" t="s">
        <v>211</v>
      </c>
      <c r="D96" s="9" t="n">
        <v>5</v>
      </c>
      <c r="E96" s="11" t="s">
        <v>220</v>
      </c>
      <c r="F96" s="11" t="s">
        <v>221</v>
      </c>
      <c r="G96" s="9"/>
      <c r="H96" s="11"/>
      <c r="I96" s="9"/>
      <c r="J96" s="10"/>
      <c r="K96" s="9"/>
      <c r="L96" s="9" t="s">
        <v>35</v>
      </c>
      <c r="N96" s="0" t="str">
        <f aca="false">IF($G96="Não Conforme",COUNTIF($G$2:$G96,"Não Conforme"),"")</f>
        <v/>
      </c>
    </row>
    <row r="97" customFormat="false" ht="15" hidden="false" customHeight="true" outlineLevel="0" collapsed="false">
      <c r="A97" s="9" t="s">
        <v>210</v>
      </c>
      <c r="B97" s="10" t="s">
        <v>31</v>
      </c>
      <c r="C97" s="11" t="s">
        <v>211</v>
      </c>
      <c r="D97" s="9" t="n">
        <v>6</v>
      </c>
      <c r="E97" s="11" t="s">
        <v>222</v>
      </c>
      <c r="F97" s="11" t="s">
        <v>223</v>
      </c>
      <c r="G97" s="9"/>
      <c r="H97" s="11"/>
      <c r="I97" s="9"/>
      <c r="J97" s="10"/>
      <c r="K97" s="9"/>
      <c r="L97" s="9" t="s">
        <v>35</v>
      </c>
      <c r="N97" s="0" t="str">
        <f aca="false">IF($G97="Não Conforme",COUNTIF($G$2:$G97,"Não Conforme"),"")</f>
        <v/>
      </c>
    </row>
    <row r="98" customFormat="false" ht="23.25" hidden="false" customHeight="true" outlineLevel="0" collapsed="false">
      <c r="A98" s="9" t="s">
        <v>210</v>
      </c>
      <c r="B98" s="10" t="s">
        <v>31</v>
      </c>
      <c r="C98" s="11" t="s">
        <v>211</v>
      </c>
      <c r="D98" s="9" t="n">
        <v>7</v>
      </c>
      <c r="E98" s="11" t="s">
        <v>224</v>
      </c>
      <c r="F98" s="11" t="s">
        <v>225</v>
      </c>
      <c r="G98" s="9"/>
      <c r="H98" s="11"/>
      <c r="I98" s="9"/>
      <c r="J98" s="10"/>
      <c r="K98" s="9"/>
      <c r="L98" s="9" t="s">
        <v>35</v>
      </c>
      <c r="N98" s="0" t="str">
        <f aca="false">IF($G98="Não Conforme",COUNTIF($G$2:$G98,"Não Conforme"),"")</f>
        <v/>
      </c>
    </row>
    <row r="99" customFormat="false" ht="15" hidden="false" customHeight="true" outlineLevel="0" collapsed="false">
      <c r="A99" s="9" t="s">
        <v>210</v>
      </c>
      <c r="B99" s="10" t="s">
        <v>31</v>
      </c>
      <c r="C99" s="11" t="s">
        <v>211</v>
      </c>
      <c r="D99" s="9" t="n">
        <v>8</v>
      </c>
      <c r="E99" s="11" t="s">
        <v>226</v>
      </c>
      <c r="F99" s="11" t="s">
        <v>227</v>
      </c>
      <c r="G99" s="9"/>
      <c r="H99" s="11"/>
      <c r="I99" s="9"/>
      <c r="J99" s="10"/>
      <c r="K99" s="9"/>
      <c r="L99" s="9" t="s">
        <v>35</v>
      </c>
      <c r="N99" s="0" t="str">
        <f aca="false">IF($G99="Não Conforme",COUNTIF($G$2:$G99,"Não Conforme"),"")</f>
        <v/>
      </c>
    </row>
    <row r="100" customFormat="false" ht="15" hidden="false" customHeight="true" outlineLevel="0" collapsed="false">
      <c r="A100" s="9" t="s">
        <v>210</v>
      </c>
      <c r="B100" s="10" t="s">
        <v>31</v>
      </c>
      <c r="C100" s="11" t="s">
        <v>211</v>
      </c>
      <c r="D100" s="9" t="n">
        <v>9</v>
      </c>
      <c r="E100" s="11" t="s">
        <v>228</v>
      </c>
      <c r="F100" s="11" t="s">
        <v>229</v>
      </c>
      <c r="G100" s="9"/>
      <c r="H100" s="11"/>
      <c r="I100" s="9"/>
      <c r="J100" s="10"/>
      <c r="K100" s="9"/>
      <c r="L100" s="9" t="s">
        <v>35</v>
      </c>
      <c r="N100" s="0" t="str">
        <f aca="false">IF($G100="Não Conforme",COUNTIF($G$2:$G100,"Não Conforme"),"")</f>
        <v/>
      </c>
    </row>
    <row r="101" customFormat="false" ht="15" hidden="false" customHeight="true" outlineLevel="0" collapsed="false">
      <c r="A101" s="9" t="s">
        <v>210</v>
      </c>
      <c r="B101" s="10" t="s">
        <v>31</v>
      </c>
      <c r="C101" s="11" t="s">
        <v>211</v>
      </c>
      <c r="D101" s="9" t="n">
        <v>10</v>
      </c>
      <c r="E101" s="11" t="s">
        <v>230</v>
      </c>
      <c r="F101" s="11" t="s">
        <v>231</v>
      </c>
      <c r="G101" s="9"/>
      <c r="H101" s="11"/>
      <c r="I101" s="9"/>
      <c r="J101" s="10"/>
      <c r="K101" s="9"/>
      <c r="L101" s="9" t="s">
        <v>35</v>
      </c>
      <c r="N101" s="0" t="str">
        <f aca="false">IF($G101="Não Conforme",COUNTIF($G$2:$G101,"Não Conforme"),"")</f>
        <v/>
      </c>
    </row>
    <row r="102" customFormat="false" ht="15" hidden="false" customHeight="true" outlineLevel="0" collapsed="false">
      <c r="A102" s="9" t="s">
        <v>210</v>
      </c>
      <c r="B102" s="10" t="s">
        <v>31</v>
      </c>
      <c r="C102" s="11" t="s">
        <v>211</v>
      </c>
      <c r="D102" s="9" t="n">
        <v>11</v>
      </c>
      <c r="E102" s="11" t="s">
        <v>232</v>
      </c>
      <c r="F102" s="11" t="s">
        <v>233</v>
      </c>
      <c r="G102" s="9"/>
      <c r="H102" s="11"/>
      <c r="I102" s="9"/>
      <c r="J102" s="10"/>
      <c r="K102" s="9"/>
      <c r="L102" s="9" t="s">
        <v>35</v>
      </c>
      <c r="N102" s="0" t="str">
        <f aca="false">IF($G102="Não Conforme",COUNTIF($G$2:$G102,"Não Conforme"),"")</f>
        <v/>
      </c>
    </row>
    <row r="103" customFormat="false" ht="15" hidden="false" customHeight="true" outlineLevel="0" collapsed="false">
      <c r="A103" s="7" t="s">
        <v>234</v>
      </c>
      <c r="B103" s="7" t="s">
        <v>31</v>
      </c>
      <c r="C103" s="7" t="s">
        <v>235</v>
      </c>
      <c r="D103" s="8"/>
      <c r="E103" s="8"/>
      <c r="F103" s="8"/>
      <c r="G103" s="8"/>
      <c r="H103" s="8"/>
      <c r="I103" s="8"/>
      <c r="J103" s="8"/>
      <c r="K103" s="8"/>
      <c r="L103" s="8"/>
      <c r="N103" s="0" t="str">
        <f aca="false">IF($G103="Não Conforme",COUNTIF($G$2:$G103,"Não Conforme"),"")</f>
        <v/>
      </c>
    </row>
    <row r="104" customFormat="false" ht="15" hidden="false" customHeight="true" outlineLevel="0" collapsed="false">
      <c r="A104" s="9" t="s">
        <v>234</v>
      </c>
      <c r="B104" s="10" t="s">
        <v>31</v>
      </c>
      <c r="C104" s="11" t="s">
        <v>235</v>
      </c>
      <c r="D104" s="9" t="n">
        <v>1</v>
      </c>
      <c r="E104" s="11" t="s">
        <v>236</v>
      </c>
      <c r="F104" s="11" t="s">
        <v>237</v>
      </c>
      <c r="G104" s="9"/>
      <c r="H104" s="11"/>
      <c r="I104" s="9"/>
      <c r="J104" s="10"/>
      <c r="K104" s="9"/>
      <c r="L104" s="9" t="s">
        <v>35</v>
      </c>
      <c r="N104" s="0" t="str">
        <f aca="false">IF($G104="Não Conforme",COUNTIF($G$2:$G104,"Não Conforme"),"")</f>
        <v/>
      </c>
    </row>
    <row r="105" customFormat="false" ht="15" hidden="false" customHeight="true" outlineLevel="0" collapsed="false">
      <c r="A105" s="9" t="s">
        <v>234</v>
      </c>
      <c r="B105" s="10" t="s">
        <v>31</v>
      </c>
      <c r="C105" s="11" t="s">
        <v>235</v>
      </c>
      <c r="D105" s="9" t="n">
        <v>2</v>
      </c>
      <c r="E105" s="11" t="s">
        <v>238</v>
      </c>
      <c r="F105" s="11" t="s">
        <v>239</v>
      </c>
      <c r="G105" s="9"/>
      <c r="H105" s="11"/>
      <c r="I105" s="9"/>
      <c r="J105" s="10"/>
      <c r="K105" s="9"/>
      <c r="L105" s="9" t="s">
        <v>35</v>
      </c>
      <c r="N105" s="0" t="str">
        <f aca="false">IF($G105="Não Conforme",COUNTIF($G$2:$G105,"Não Conforme"),"")</f>
        <v/>
      </c>
    </row>
    <row r="106" customFormat="false" ht="15" hidden="false" customHeight="true" outlineLevel="0" collapsed="false">
      <c r="A106" s="9" t="s">
        <v>234</v>
      </c>
      <c r="B106" s="10" t="s">
        <v>31</v>
      </c>
      <c r="C106" s="11" t="s">
        <v>235</v>
      </c>
      <c r="D106" s="9" t="n">
        <v>3</v>
      </c>
      <c r="E106" s="11" t="s">
        <v>240</v>
      </c>
      <c r="F106" s="11" t="s">
        <v>241</v>
      </c>
      <c r="G106" s="9"/>
      <c r="H106" s="11"/>
      <c r="I106" s="9"/>
      <c r="J106" s="10"/>
      <c r="K106" s="9"/>
      <c r="L106" s="9" t="s">
        <v>35</v>
      </c>
      <c r="N106" s="0" t="str">
        <f aca="false">IF($G106="Não Conforme",COUNTIF($G$2:$G106,"Não Conforme"),"")</f>
        <v/>
      </c>
    </row>
    <row r="107" customFormat="false" ht="15" hidden="false" customHeight="true" outlineLevel="0" collapsed="false">
      <c r="A107" s="9" t="s">
        <v>234</v>
      </c>
      <c r="B107" s="10" t="s">
        <v>31</v>
      </c>
      <c r="C107" s="11" t="s">
        <v>235</v>
      </c>
      <c r="D107" s="9" t="n">
        <v>4</v>
      </c>
      <c r="E107" s="11" t="s">
        <v>242</v>
      </c>
      <c r="F107" s="11" t="s">
        <v>243</v>
      </c>
      <c r="G107" s="9"/>
      <c r="H107" s="11"/>
      <c r="I107" s="9"/>
      <c r="J107" s="10"/>
      <c r="K107" s="9"/>
      <c r="L107" s="9" t="s">
        <v>35</v>
      </c>
      <c r="N107" s="0" t="str">
        <f aca="false">IF($G107="Não Conforme",COUNTIF($G$2:$G107,"Não Conforme"),"")</f>
        <v/>
      </c>
    </row>
    <row r="108" customFormat="false" ht="15" hidden="false" customHeight="true" outlineLevel="0" collapsed="false">
      <c r="A108" s="9" t="s">
        <v>234</v>
      </c>
      <c r="B108" s="10" t="s">
        <v>31</v>
      </c>
      <c r="C108" s="11" t="s">
        <v>235</v>
      </c>
      <c r="D108" s="9" t="n">
        <v>5</v>
      </c>
      <c r="E108" s="11" t="s">
        <v>60</v>
      </c>
      <c r="F108" s="11" t="s">
        <v>244</v>
      </c>
      <c r="G108" s="9"/>
      <c r="H108" s="11"/>
      <c r="I108" s="9"/>
      <c r="J108" s="10"/>
      <c r="K108" s="9"/>
      <c r="L108" s="9" t="s">
        <v>35</v>
      </c>
      <c r="N108" s="0" t="str">
        <f aca="false">IF($G108="Não Conforme",COUNTIF($G$2:$G108,"Não Conforme"),"")</f>
        <v/>
      </c>
    </row>
    <row r="109" customFormat="false" ht="15" hidden="false" customHeight="true" outlineLevel="0" collapsed="false">
      <c r="A109" s="9" t="s">
        <v>234</v>
      </c>
      <c r="B109" s="10" t="s">
        <v>31</v>
      </c>
      <c r="C109" s="11" t="s">
        <v>235</v>
      </c>
      <c r="D109" s="9" t="n">
        <v>6</v>
      </c>
      <c r="E109" s="11" t="s">
        <v>245</v>
      </c>
      <c r="F109" s="11" t="s">
        <v>246</v>
      </c>
      <c r="G109" s="9"/>
      <c r="H109" s="11"/>
      <c r="I109" s="9"/>
      <c r="J109" s="10"/>
      <c r="K109" s="9"/>
      <c r="L109" s="9" t="s">
        <v>35</v>
      </c>
      <c r="N109" s="0" t="str">
        <f aca="false">IF($G109="Não Conforme",COUNTIF($G$2:$G109,"Não Conforme"),"")</f>
        <v/>
      </c>
    </row>
    <row r="110" customFormat="false" ht="15" hidden="false" customHeight="true" outlineLevel="0" collapsed="false">
      <c r="A110" s="9" t="s">
        <v>234</v>
      </c>
      <c r="B110" s="10" t="s">
        <v>31</v>
      </c>
      <c r="C110" s="11" t="s">
        <v>235</v>
      </c>
      <c r="D110" s="9" t="n">
        <v>7</v>
      </c>
      <c r="E110" s="11" t="s">
        <v>247</v>
      </c>
      <c r="F110" s="11" t="s">
        <v>248</v>
      </c>
      <c r="G110" s="9"/>
      <c r="H110" s="11"/>
      <c r="I110" s="9"/>
      <c r="J110" s="10"/>
      <c r="K110" s="9"/>
      <c r="L110" s="9" t="s">
        <v>35</v>
      </c>
      <c r="N110" s="0" t="str">
        <f aca="false">IF($G110="Não Conforme",COUNTIF($G$2:$G110,"Não Conforme"),"")</f>
        <v/>
      </c>
    </row>
    <row r="111" customFormat="false" ht="15" hidden="false" customHeight="true" outlineLevel="0" collapsed="false">
      <c r="A111" s="9" t="s">
        <v>234</v>
      </c>
      <c r="B111" s="10" t="s">
        <v>31</v>
      </c>
      <c r="C111" s="11" t="s">
        <v>235</v>
      </c>
      <c r="D111" s="9" t="n">
        <v>8</v>
      </c>
      <c r="E111" s="11" t="s">
        <v>249</v>
      </c>
      <c r="F111" s="11" t="s">
        <v>250</v>
      </c>
      <c r="G111" s="9"/>
      <c r="H111" s="11"/>
      <c r="I111" s="9"/>
      <c r="J111" s="10"/>
      <c r="K111" s="9"/>
      <c r="L111" s="9" t="s">
        <v>35</v>
      </c>
      <c r="N111" s="0" t="str">
        <f aca="false">IF($G111="Não Conforme",COUNTIF($G$2:$G111,"Não Conforme"),"")</f>
        <v/>
      </c>
    </row>
    <row r="112" customFormat="false" ht="15" hidden="false" customHeight="true" outlineLevel="0" collapsed="false">
      <c r="A112" s="9" t="s">
        <v>234</v>
      </c>
      <c r="B112" s="10" t="s">
        <v>31</v>
      </c>
      <c r="C112" s="11" t="s">
        <v>235</v>
      </c>
      <c r="D112" s="9" t="n">
        <v>9</v>
      </c>
      <c r="E112" s="11" t="s">
        <v>251</v>
      </c>
      <c r="F112" s="11" t="s">
        <v>252</v>
      </c>
      <c r="G112" s="9"/>
      <c r="H112" s="11"/>
      <c r="I112" s="9"/>
      <c r="J112" s="10"/>
      <c r="K112" s="9"/>
      <c r="L112" s="9" t="s">
        <v>35</v>
      </c>
      <c r="N112" s="0" t="str">
        <f aca="false">IF($G112="Não Conforme",COUNTIF($G$2:$G112,"Não Conforme"),"")</f>
        <v/>
      </c>
    </row>
    <row r="113" customFormat="false" ht="15" hidden="false" customHeight="true" outlineLevel="0" collapsed="false">
      <c r="A113" s="9" t="s">
        <v>234</v>
      </c>
      <c r="B113" s="10" t="s">
        <v>31</v>
      </c>
      <c r="C113" s="11" t="s">
        <v>235</v>
      </c>
      <c r="D113" s="9" t="n">
        <v>10</v>
      </c>
      <c r="E113" s="11" t="s">
        <v>253</v>
      </c>
      <c r="F113" s="11" t="s">
        <v>254</v>
      </c>
      <c r="G113" s="9"/>
      <c r="H113" s="11"/>
      <c r="I113" s="9"/>
      <c r="J113" s="10"/>
      <c r="K113" s="9"/>
      <c r="L113" s="9" t="s">
        <v>35</v>
      </c>
      <c r="N113" s="0" t="str">
        <f aca="false">IF($G113="Não Conforme",COUNTIF($G$2:$G113,"Não Conforme"),"")</f>
        <v/>
      </c>
    </row>
    <row r="114" customFormat="false" ht="15" hidden="false" customHeight="true" outlineLevel="0" collapsed="false">
      <c r="A114" s="7" t="s">
        <v>255</v>
      </c>
      <c r="B114" s="7" t="s">
        <v>31</v>
      </c>
      <c r="C114" s="7" t="s">
        <v>256</v>
      </c>
      <c r="D114" s="8"/>
      <c r="E114" s="8"/>
      <c r="F114" s="8"/>
      <c r="G114" s="8"/>
      <c r="H114" s="8"/>
      <c r="I114" s="8"/>
      <c r="J114" s="8"/>
      <c r="K114" s="8"/>
      <c r="L114" s="8"/>
      <c r="N114" s="0" t="str">
        <f aca="false">IF($G114="Não Conforme",COUNTIF($G$2:$G114,"Não Conforme"),"")</f>
        <v/>
      </c>
    </row>
    <row r="115" customFormat="false" ht="15" hidden="false" customHeight="true" outlineLevel="0" collapsed="false">
      <c r="A115" s="9" t="s">
        <v>255</v>
      </c>
      <c r="B115" s="10" t="s">
        <v>31</v>
      </c>
      <c r="C115" s="11" t="s">
        <v>256</v>
      </c>
      <c r="D115" s="9" t="n">
        <v>1</v>
      </c>
      <c r="E115" s="11" t="s">
        <v>257</v>
      </c>
      <c r="F115" s="11" t="s">
        <v>258</v>
      </c>
      <c r="G115" s="9"/>
      <c r="H115" s="11"/>
      <c r="I115" s="9"/>
      <c r="J115" s="10"/>
      <c r="K115" s="9"/>
      <c r="L115" s="9" t="s">
        <v>35</v>
      </c>
      <c r="N115" s="0" t="str">
        <f aca="false">IF($G115="Não Conforme",COUNTIF($G$2:$G115,"Não Conforme"),"")</f>
        <v/>
      </c>
    </row>
    <row r="116" customFormat="false" ht="15" hidden="false" customHeight="true" outlineLevel="0" collapsed="false">
      <c r="A116" s="9" t="s">
        <v>255</v>
      </c>
      <c r="B116" s="10" t="s">
        <v>31</v>
      </c>
      <c r="C116" s="11" t="s">
        <v>256</v>
      </c>
      <c r="D116" s="9" t="n">
        <v>2</v>
      </c>
      <c r="E116" s="11" t="s">
        <v>259</v>
      </c>
      <c r="F116" s="11" t="s">
        <v>260</v>
      </c>
      <c r="G116" s="9"/>
      <c r="H116" s="11"/>
      <c r="I116" s="9"/>
      <c r="J116" s="10"/>
      <c r="K116" s="9"/>
      <c r="L116" s="9" t="s">
        <v>35</v>
      </c>
      <c r="N116" s="0" t="str">
        <f aca="false">IF($G116="Não Conforme",COUNTIF($G$2:$G116,"Não Conforme"),"")</f>
        <v/>
      </c>
    </row>
    <row r="117" customFormat="false" ht="15" hidden="false" customHeight="true" outlineLevel="0" collapsed="false">
      <c r="A117" s="9" t="s">
        <v>255</v>
      </c>
      <c r="B117" s="10" t="s">
        <v>31</v>
      </c>
      <c r="C117" s="11" t="s">
        <v>256</v>
      </c>
      <c r="D117" s="9" t="n">
        <v>3</v>
      </c>
      <c r="E117" s="11" t="s">
        <v>261</v>
      </c>
      <c r="F117" s="11" t="s">
        <v>262</v>
      </c>
      <c r="G117" s="9"/>
      <c r="H117" s="11"/>
      <c r="I117" s="9"/>
      <c r="J117" s="10"/>
      <c r="K117" s="9"/>
      <c r="L117" s="9" t="s">
        <v>35</v>
      </c>
      <c r="N117" s="0" t="str">
        <f aca="false">IF($G117="Não Conforme",COUNTIF($G$2:$G117,"Não Conforme"),"")</f>
        <v/>
      </c>
    </row>
    <row r="118" customFormat="false" ht="15" hidden="false" customHeight="true" outlineLevel="0" collapsed="false">
      <c r="A118" s="9" t="s">
        <v>255</v>
      </c>
      <c r="B118" s="10" t="s">
        <v>31</v>
      </c>
      <c r="C118" s="11" t="s">
        <v>256</v>
      </c>
      <c r="D118" s="9" t="n">
        <v>4</v>
      </c>
      <c r="E118" s="11" t="s">
        <v>263</v>
      </c>
      <c r="F118" s="11" t="s">
        <v>264</v>
      </c>
      <c r="G118" s="9"/>
      <c r="H118" s="11"/>
      <c r="I118" s="9"/>
      <c r="J118" s="10"/>
      <c r="K118" s="9"/>
      <c r="L118" s="9" t="s">
        <v>35</v>
      </c>
      <c r="N118" s="0" t="str">
        <f aca="false">IF($G118="Não Conforme",COUNTIF($G$2:$G118,"Não Conforme"),"")</f>
        <v/>
      </c>
    </row>
    <row r="119" customFormat="false" ht="15" hidden="false" customHeight="true" outlineLevel="0" collapsed="false">
      <c r="A119" s="9" t="s">
        <v>255</v>
      </c>
      <c r="B119" s="10" t="s">
        <v>31</v>
      </c>
      <c r="C119" s="11" t="s">
        <v>256</v>
      </c>
      <c r="D119" s="9" t="n">
        <v>5</v>
      </c>
      <c r="E119" s="11" t="s">
        <v>265</v>
      </c>
      <c r="F119" s="11" t="s">
        <v>266</v>
      </c>
      <c r="G119" s="9"/>
      <c r="H119" s="11"/>
      <c r="I119" s="9"/>
      <c r="J119" s="10"/>
      <c r="K119" s="9"/>
      <c r="L119" s="9" t="s">
        <v>35</v>
      </c>
      <c r="N119" s="0" t="str">
        <f aca="false">IF($G119="Não Conforme",COUNTIF($G$2:$G119,"Não Conforme"),"")</f>
        <v/>
      </c>
    </row>
    <row r="120" customFormat="false" ht="15" hidden="false" customHeight="true" outlineLevel="0" collapsed="false">
      <c r="A120" s="9" t="s">
        <v>255</v>
      </c>
      <c r="B120" s="10" t="s">
        <v>31</v>
      </c>
      <c r="C120" s="11" t="s">
        <v>256</v>
      </c>
      <c r="D120" s="9" t="n">
        <v>6</v>
      </c>
      <c r="E120" s="11" t="s">
        <v>267</v>
      </c>
      <c r="F120" s="11" t="s">
        <v>268</v>
      </c>
      <c r="G120" s="9"/>
      <c r="H120" s="11"/>
      <c r="I120" s="9"/>
      <c r="J120" s="10"/>
      <c r="K120" s="9"/>
      <c r="L120" s="9" t="s">
        <v>35</v>
      </c>
      <c r="N120" s="0" t="str">
        <f aca="false">IF($G120="Não Conforme",COUNTIF($G$2:$G120,"Não Conforme"),"")</f>
        <v/>
      </c>
    </row>
    <row r="121" customFormat="false" ht="15" hidden="false" customHeight="true" outlineLevel="0" collapsed="false">
      <c r="A121" s="9" t="s">
        <v>255</v>
      </c>
      <c r="B121" s="10" t="s">
        <v>31</v>
      </c>
      <c r="C121" s="11" t="s">
        <v>256</v>
      </c>
      <c r="D121" s="9" t="n">
        <v>7</v>
      </c>
      <c r="E121" s="11" t="s">
        <v>269</v>
      </c>
      <c r="F121" s="11" t="s">
        <v>270</v>
      </c>
      <c r="G121" s="9"/>
      <c r="H121" s="11"/>
      <c r="I121" s="9"/>
      <c r="J121" s="10"/>
      <c r="K121" s="9"/>
      <c r="L121" s="9" t="s">
        <v>35</v>
      </c>
      <c r="N121" s="0" t="str">
        <f aca="false">IF($G121="Não Conforme",COUNTIF($G$2:$G121,"Não Conforme"),"")</f>
        <v/>
      </c>
    </row>
    <row r="122" customFormat="false" ht="15" hidden="false" customHeight="true" outlineLevel="0" collapsed="false">
      <c r="A122" s="9" t="s">
        <v>255</v>
      </c>
      <c r="B122" s="10" t="s">
        <v>31</v>
      </c>
      <c r="C122" s="11" t="s">
        <v>256</v>
      </c>
      <c r="D122" s="9" t="n">
        <v>8</v>
      </c>
      <c r="E122" s="11" t="s">
        <v>271</v>
      </c>
      <c r="F122" s="11" t="s">
        <v>272</v>
      </c>
      <c r="G122" s="9"/>
      <c r="H122" s="11"/>
      <c r="I122" s="9"/>
      <c r="J122" s="10"/>
      <c r="K122" s="9"/>
      <c r="L122" s="9" t="s">
        <v>35</v>
      </c>
      <c r="N122" s="0" t="str">
        <f aca="false">IF($G122="Não Conforme",COUNTIF($G$2:$G122,"Não Conforme"),"")</f>
        <v/>
      </c>
    </row>
    <row r="123" customFormat="false" ht="15" hidden="false" customHeight="true" outlineLevel="0" collapsed="false">
      <c r="A123" s="9" t="s">
        <v>255</v>
      </c>
      <c r="B123" s="10" t="s">
        <v>31</v>
      </c>
      <c r="C123" s="11" t="s">
        <v>256</v>
      </c>
      <c r="D123" s="9" t="n">
        <v>9</v>
      </c>
      <c r="E123" s="11" t="s">
        <v>273</v>
      </c>
      <c r="F123" s="11" t="s">
        <v>274</v>
      </c>
      <c r="G123" s="9"/>
      <c r="H123" s="11"/>
      <c r="I123" s="9"/>
      <c r="J123" s="10"/>
      <c r="K123" s="9"/>
      <c r="L123" s="9" t="s">
        <v>35</v>
      </c>
      <c r="N123" s="0" t="str">
        <f aca="false">IF($G123="Não Conforme",COUNTIF($G$2:$G123,"Não Conforme"),"")</f>
        <v/>
      </c>
    </row>
    <row r="124" customFormat="false" ht="15" hidden="false" customHeight="true" outlineLevel="0" collapsed="false">
      <c r="A124" s="9" t="s">
        <v>255</v>
      </c>
      <c r="B124" s="10" t="s">
        <v>31</v>
      </c>
      <c r="C124" s="11" t="s">
        <v>256</v>
      </c>
      <c r="D124" s="9" t="n">
        <v>10</v>
      </c>
      <c r="E124" s="11" t="s">
        <v>275</v>
      </c>
      <c r="F124" s="11" t="s">
        <v>276</v>
      </c>
      <c r="G124" s="9"/>
      <c r="H124" s="11"/>
      <c r="I124" s="9"/>
      <c r="J124" s="10"/>
      <c r="K124" s="9"/>
      <c r="L124" s="9" t="s">
        <v>35</v>
      </c>
      <c r="N124" s="0" t="str">
        <f aca="false">IF($G124="Não Conforme",COUNTIF($G$2:$G124,"Não Conforme"),"")</f>
        <v/>
      </c>
    </row>
    <row r="125" customFormat="false" ht="15" hidden="false" customHeight="true" outlineLevel="0" collapsed="false">
      <c r="A125" s="7" t="s">
        <v>277</v>
      </c>
      <c r="B125" s="7" t="s">
        <v>31</v>
      </c>
      <c r="C125" s="7" t="s">
        <v>278</v>
      </c>
      <c r="D125" s="8"/>
      <c r="E125" s="8"/>
      <c r="F125" s="8"/>
      <c r="G125" s="8"/>
      <c r="H125" s="8"/>
      <c r="I125" s="8"/>
      <c r="J125" s="8"/>
      <c r="K125" s="8"/>
      <c r="L125" s="8"/>
      <c r="N125" s="0" t="str">
        <f aca="false">IF($G125="Não Conforme",COUNTIF($G$2:$G125,"Não Conforme"),"")</f>
        <v/>
      </c>
    </row>
    <row r="126" customFormat="false" ht="15" hidden="false" customHeight="true" outlineLevel="0" collapsed="false">
      <c r="A126" s="9" t="s">
        <v>277</v>
      </c>
      <c r="B126" s="10" t="s">
        <v>31</v>
      </c>
      <c r="C126" s="11" t="s">
        <v>278</v>
      </c>
      <c r="D126" s="9" t="n">
        <v>1</v>
      </c>
      <c r="E126" s="11" t="s">
        <v>279</v>
      </c>
      <c r="F126" s="11" t="s">
        <v>280</v>
      </c>
      <c r="G126" s="9"/>
      <c r="H126" s="11"/>
      <c r="I126" s="9"/>
      <c r="J126" s="10"/>
      <c r="K126" s="9"/>
      <c r="L126" s="9" t="s">
        <v>35</v>
      </c>
      <c r="N126" s="0" t="str">
        <f aca="false">IF($G126="Não Conforme",COUNTIF($G$2:$G126,"Não Conforme"),"")</f>
        <v/>
      </c>
    </row>
    <row r="127" customFormat="false" ht="15" hidden="false" customHeight="true" outlineLevel="0" collapsed="false">
      <c r="A127" s="9" t="s">
        <v>277</v>
      </c>
      <c r="B127" s="10" t="s">
        <v>31</v>
      </c>
      <c r="C127" s="11" t="s">
        <v>278</v>
      </c>
      <c r="D127" s="9" t="n">
        <v>2</v>
      </c>
      <c r="E127" s="11" t="s">
        <v>281</v>
      </c>
      <c r="F127" s="11" t="s">
        <v>282</v>
      </c>
      <c r="G127" s="9"/>
      <c r="H127" s="11"/>
      <c r="I127" s="9"/>
      <c r="J127" s="10"/>
      <c r="K127" s="9"/>
      <c r="L127" s="9" t="s">
        <v>35</v>
      </c>
      <c r="N127" s="0" t="str">
        <f aca="false">IF($G127="Não Conforme",COUNTIF($G$2:$G127,"Não Conforme"),"")</f>
        <v/>
      </c>
    </row>
    <row r="128" customFormat="false" ht="15" hidden="false" customHeight="true" outlineLevel="0" collapsed="false">
      <c r="A128" s="9" t="s">
        <v>277</v>
      </c>
      <c r="B128" s="10" t="s">
        <v>31</v>
      </c>
      <c r="C128" s="11" t="s">
        <v>278</v>
      </c>
      <c r="D128" s="9" t="n">
        <v>3</v>
      </c>
      <c r="E128" s="11" t="s">
        <v>283</v>
      </c>
      <c r="F128" s="11" t="s">
        <v>284</v>
      </c>
      <c r="G128" s="9"/>
      <c r="H128" s="11"/>
      <c r="I128" s="9"/>
      <c r="J128" s="10"/>
      <c r="K128" s="9"/>
      <c r="L128" s="9" t="s">
        <v>35</v>
      </c>
      <c r="N128" s="0" t="str">
        <f aca="false">IF($G128="Não Conforme",COUNTIF($G$2:$G128,"Não Conforme"),"")</f>
        <v/>
      </c>
    </row>
    <row r="129" customFormat="false" ht="15" hidden="false" customHeight="true" outlineLevel="0" collapsed="false">
      <c r="A129" s="9" t="s">
        <v>277</v>
      </c>
      <c r="B129" s="10" t="s">
        <v>31</v>
      </c>
      <c r="C129" s="11" t="s">
        <v>278</v>
      </c>
      <c r="D129" s="9" t="n">
        <v>4</v>
      </c>
      <c r="E129" s="11" t="s">
        <v>285</v>
      </c>
      <c r="F129" s="11" t="s">
        <v>286</v>
      </c>
      <c r="G129" s="9"/>
      <c r="H129" s="11"/>
      <c r="I129" s="9"/>
      <c r="J129" s="10"/>
      <c r="K129" s="9"/>
      <c r="L129" s="9" t="s">
        <v>35</v>
      </c>
      <c r="N129" s="0" t="str">
        <f aca="false">IF($G129="Não Conforme",COUNTIF($G$2:$G129,"Não Conforme"),"")</f>
        <v/>
      </c>
    </row>
    <row r="130" customFormat="false" ht="15" hidden="false" customHeight="true" outlineLevel="0" collapsed="false">
      <c r="A130" s="9" t="s">
        <v>277</v>
      </c>
      <c r="B130" s="10" t="s">
        <v>31</v>
      </c>
      <c r="C130" s="11" t="s">
        <v>278</v>
      </c>
      <c r="D130" s="9" t="n">
        <v>5</v>
      </c>
      <c r="E130" s="11" t="s">
        <v>287</v>
      </c>
      <c r="F130" s="11" t="s">
        <v>288</v>
      </c>
      <c r="G130" s="9"/>
      <c r="H130" s="11"/>
      <c r="I130" s="9"/>
      <c r="J130" s="10"/>
      <c r="K130" s="9"/>
      <c r="L130" s="9" t="s">
        <v>35</v>
      </c>
      <c r="N130" s="0" t="str">
        <f aca="false">IF($G130="Não Conforme",COUNTIF($G$2:$G130,"Não Conforme"),"")</f>
        <v/>
      </c>
    </row>
    <row r="131" customFormat="false" ht="15" hidden="false" customHeight="true" outlineLevel="0" collapsed="false">
      <c r="A131" s="9" t="s">
        <v>277</v>
      </c>
      <c r="B131" s="10" t="s">
        <v>31</v>
      </c>
      <c r="C131" s="11" t="s">
        <v>278</v>
      </c>
      <c r="D131" s="9" t="n">
        <v>6</v>
      </c>
      <c r="E131" s="11" t="s">
        <v>289</v>
      </c>
      <c r="F131" s="11" t="s">
        <v>290</v>
      </c>
      <c r="G131" s="9"/>
      <c r="H131" s="11"/>
      <c r="I131" s="9"/>
      <c r="J131" s="10"/>
      <c r="K131" s="9"/>
      <c r="L131" s="9" t="s">
        <v>35</v>
      </c>
      <c r="N131" s="0" t="str">
        <f aca="false">IF($G131="Não Conforme",COUNTIF($G$2:$G131,"Não Conforme"),"")</f>
        <v/>
      </c>
    </row>
    <row r="132" customFormat="false" ht="15" hidden="false" customHeight="true" outlineLevel="0" collapsed="false">
      <c r="A132" s="9" t="s">
        <v>277</v>
      </c>
      <c r="B132" s="10" t="s">
        <v>31</v>
      </c>
      <c r="C132" s="11" t="s">
        <v>278</v>
      </c>
      <c r="D132" s="9" t="n">
        <v>7</v>
      </c>
      <c r="E132" s="11" t="s">
        <v>291</v>
      </c>
      <c r="F132" s="11" t="s">
        <v>292</v>
      </c>
      <c r="G132" s="9"/>
      <c r="H132" s="11"/>
      <c r="I132" s="9"/>
      <c r="J132" s="10"/>
      <c r="K132" s="9"/>
      <c r="L132" s="9" t="s">
        <v>35</v>
      </c>
      <c r="N132" s="0" t="str">
        <f aca="false">IF($G132="Não Conforme",COUNTIF($G$2:$G132,"Não Conforme"),"")</f>
        <v/>
      </c>
    </row>
    <row r="133" customFormat="false" ht="15" hidden="false" customHeight="true" outlineLevel="0" collapsed="false">
      <c r="A133" s="9" t="s">
        <v>277</v>
      </c>
      <c r="B133" s="10" t="s">
        <v>31</v>
      </c>
      <c r="C133" s="11" t="s">
        <v>278</v>
      </c>
      <c r="D133" s="9" t="n">
        <v>8</v>
      </c>
      <c r="E133" s="11" t="s">
        <v>293</v>
      </c>
      <c r="F133" s="11" t="s">
        <v>294</v>
      </c>
      <c r="G133" s="9"/>
      <c r="H133" s="11"/>
      <c r="I133" s="9"/>
      <c r="J133" s="10"/>
      <c r="K133" s="9"/>
      <c r="L133" s="9" t="s">
        <v>35</v>
      </c>
      <c r="N133" s="0" t="str">
        <f aca="false">IF($G133="Não Conforme",COUNTIF($G$2:$G133,"Não Conforme"),"")</f>
        <v/>
      </c>
    </row>
    <row r="134" customFormat="false" ht="15" hidden="false" customHeight="true" outlineLevel="0" collapsed="false">
      <c r="A134" s="9" t="s">
        <v>277</v>
      </c>
      <c r="B134" s="10" t="s">
        <v>31</v>
      </c>
      <c r="C134" s="11" t="s">
        <v>278</v>
      </c>
      <c r="D134" s="9" t="n">
        <v>9</v>
      </c>
      <c r="E134" s="11" t="s">
        <v>295</v>
      </c>
      <c r="F134" s="11" t="s">
        <v>296</v>
      </c>
      <c r="G134" s="9"/>
      <c r="H134" s="11"/>
      <c r="I134" s="9"/>
      <c r="J134" s="10"/>
      <c r="K134" s="9"/>
      <c r="L134" s="9" t="s">
        <v>35</v>
      </c>
      <c r="N134" s="0" t="str">
        <f aca="false">IF($G134="Não Conforme",COUNTIF($G$2:$G134,"Não Conforme"),"")</f>
        <v/>
      </c>
    </row>
    <row r="135" customFormat="false" ht="15" hidden="false" customHeight="true" outlineLevel="0" collapsed="false">
      <c r="A135" s="7" t="s">
        <v>297</v>
      </c>
      <c r="B135" s="7" t="s">
        <v>31</v>
      </c>
      <c r="C135" s="7" t="s">
        <v>298</v>
      </c>
      <c r="D135" s="8"/>
      <c r="E135" s="8"/>
      <c r="F135" s="8"/>
      <c r="G135" s="8"/>
      <c r="H135" s="8"/>
      <c r="I135" s="8"/>
      <c r="J135" s="8"/>
      <c r="K135" s="8"/>
      <c r="L135" s="8"/>
      <c r="N135" s="0" t="str">
        <f aca="false">IF($G135="Não Conforme",COUNTIF($G$2:$G135,"Não Conforme"),"")</f>
        <v/>
      </c>
    </row>
    <row r="136" customFormat="false" ht="15" hidden="false" customHeight="true" outlineLevel="0" collapsed="false">
      <c r="A136" s="9" t="s">
        <v>297</v>
      </c>
      <c r="B136" s="10" t="s">
        <v>31</v>
      </c>
      <c r="C136" s="11" t="s">
        <v>298</v>
      </c>
      <c r="D136" s="9" t="n">
        <v>1</v>
      </c>
      <c r="E136" s="11" t="s">
        <v>299</v>
      </c>
      <c r="F136" s="11" t="s">
        <v>300</v>
      </c>
      <c r="G136" s="9"/>
      <c r="H136" s="11"/>
      <c r="I136" s="9"/>
      <c r="J136" s="10"/>
      <c r="K136" s="9"/>
      <c r="L136" s="9" t="s">
        <v>35</v>
      </c>
      <c r="N136" s="0" t="str">
        <f aca="false">IF($G136="Não Conforme",COUNTIF($G$2:$G136,"Não Conforme"),"")</f>
        <v/>
      </c>
    </row>
    <row r="137" customFormat="false" ht="15" hidden="false" customHeight="true" outlineLevel="0" collapsed="false">
      <c r="A137" s="9" t="s">
        <v>297</v>
      </c>
      <c r="B137" s="10" t="s">
        <v>31</v>
      </c>
      <c r="C137" s="11" t="s">
        <v>298</v>
      </c>
      <c r="D137" s="9" t="n">
        <v>2</v>
      </c>
      <c r="E137" s="11" t="s">
        <v>301</v>
      </c>
      <c r="F137" s="11" t="s">
        <v>302</v>
      </c>
      <c r="G137" s="9"/>
      <c r="H137" s="11"/>
      <c r="I137" s="9"/>
      <c r="J137" s="10"/>
      <c r="K137" s="9"/>
      <c r="L137" s="9" t="s">
        <v>35</v>
      </c>
      <c r="N137" s="0" t="str">
        <f aca="false">IF($G137="Não Conforme",COUNTIF($G$2:$G137,"Não Conforme"),"")</f>
        <v/>
      </c>
    </row>
    <row r="138" customFormat="false" ht="15" hidden="false" customHeight="true" outlineLevel="0" collapsed="false">
      <c r="A138" s="9" t="s">
        <v>297</v>
      </c>
      <c r="B138" s="10" t="s">
        <v>31</v>
      </c>
      <c r="C138" s="11" t="s">
        <v>298</v>
      </c>
      <c r="D138" s="9" t="n">
        <v>3</v>
      </c>
      <c r="E138" s="11" t="s">
        <v>303</v>
      </c>
      <c r="F138" s="11" t="s">
        <v>304</v>
      </c>
      <c r="G138" s="9"/>
      <c r="H138" s="11"/>
      <c r="I138" s="9"/>
      <c r="J138" s="10"/>
      <c r="K138" s="9"/>
      <c r="L138" s="9" t="s">
        <v>35</v>
      </c>
      <c r="N138" s="0" t="str">
        <f aca="false">IF($G138="Não Conforme",COUNTIF($G$2:$G138,"Não Conforme"),"")</f>
        <v/>
      </c>
    </row>
    <row r="139" customFormat="false" ht="15" hidden="false" customHeight="true" outlineLevel="0" collapsed="false">
      <c r="A139" s="9" t="s">
        <v>297</v>
      </c>
      <c r="B139" s="10" t="s">
        <v>31</v>
      </c>
      <c r="C139" s="11" t="s">
        <v>298</v>
      </c>
      <c r="D139" s="9" t="n">
        <v>4</v>
      </c>
      <c r="E139" s="11" t="s">
        <v>305</v>
      </c>
      <c r="F139" s="11" t="s">
        <v>306</v>
      </c>
      <c r="G139" s="9"/>
      <c r="H139" s="11"/>
      <c r="I139" s="9"/>
      <c r="J139" s="10"/>
      <c r="K139" s="9"/>
      <c r="L139" s="9" t="s">
        <v>35</v>
      </c>
      <c r="N139" s="0" t="str">
        <f aca="false">IF($G139="Não Conforme",COUNTIF($G$2:$G139,"Não Conforme"),"")</f>
        <v/>
      </c>
    </row>
    <row r="140" customFormat="false" ht="15" hidden="false" customHeight="true" outlineLevel="0" collapsed="false">
      <c r="A140" s="9" t="s">
        <v>297</v>
      </c>
      <c r="B140" s="10" t="s">
        <v>31</v>
      </c>
      <c r="C140" s="11" t="s">
        <v>298</v>
      </c>
      <c r="D140" s="9" t="n">
        <v>5</v>
      </c>
      <c r="E140" s="11" t="s">
        <v>307</v>
      </c>
      <c r="F140" s="11" t="s">
        <v>308</v>
      </c>
      <c r="G140" s="9"/>
      <c r="H140" s="11"/>
      <c r="I140" s="9"/>
      <c r="J140" s="10"/>
      <c r="K140" s="9"/>
      <c r="L140" s="9" t="s">
        <v>35</v>
      </c>
      <c r="N140" s="0" t="str">
        <f aca="false">IF($G140="Não Conforme",COUNTIF($G$2:$G140,"Não Conforme"),"")</f>
        <v/>
      </c>
    </row>
    <row r="141" customFormat="false" ht="15" hidden="false" customHeight="true" outlineLevel="0" collapsed="false">
      <c r="A141" s="9" t="s">
        <v>297</v>
      </c>
      <c r="B141" s="10" t="s">
        <v>31</v>
      </c>
      <c r="C141" s="11" t="s">
        <v>298</v>
      </c>
      <c r="D141" s="9" t="n">
        <v>6</v>
      </c>
      <c r="E141" s="11" t="s">
        <v>309</v>
      </c>
      <c r="F141" s="11" t="s">
        <v>310</v>
      </c>
      <c r="G141" s="9"/>
      <c r="H141" s="11"/>
      <c r="I141" s="9"/>
      <c r="J141" s="10"/>
      <c r="K141" s="9"/>
      <c r="L141" s="9" t="s">
        <v>35</v>
      </c>
      <c r="N141" s="0" t="str">
        <f aca="false">IF($G141="Não Conforme",COUNTIF($G$2:$G141,"Não Conforme"),"")</f>
        <v/>
      </c>
    </row>
    <row r="142" customFormat="false" ht="15" hidden="false" customHeight="true" outlineLevel="0" collapsed="false">
      <c r="A142" s="7" t="s">
        <v>311</v>
      </c>
      <c r="B142" s="7" t="s">
        <v>31</v>
      </c>
      <c r="C142" s="7" t="s">
        <v>312</v>
      </c>
      <c r="D142" s="8"/>
      <c r="E142" s="8"/>
      <c r="F142" s="8"/>
      <c r="G142" s="8"/>
      <c r="H142" s="8"/>
      <c r="I142" s="8"/>
      <c r="J142" s="8"/>
      <c r="K142" s="8"/>
      <c r="L142" s="8"/>
      <c r="N142" s="0" t="str">
        <f aca="false">IF($G142="Não Conforme",COUNTIF($G$2:$G142,"Não Conforme"),"")</f>
        <v/>
      </c>
    </row>
    <row r="143" customFormat="false" ht="15" hidden="false" customHeight="true" outlineLevel="0" collapsed="false">
      <c r="A143" s="9" t="s">
        <v>311</v>
      </c>
      <c r="B143" s="10" t="s">
        <v>31</v>
      </c>
      <c r="C143" s="11" t="s">
        <v>312</v>
      </c>
      <c r="D143" s="9" t="n">
        <v>1</v>
      </c>
      <c r="E143" s="11" t="s">
        <v>313</v>
      </c>
      <c r="F143" s="11" t="s">
        <v>314</v>
      </c>
      <c r="G143" s="9"/>
      <c r="H143" s="11"/>
      <c r="I143" s="9"/>
      <c r="J143" s="10"/>
      <c r="K143" s="9"/>
      <c r="L143" s="9" t="s">
        <v>35</v>
      </c>
      <c r="N143" s="0" t="str">
        <f aca="false">IF($G143="Não Conforme",COUNTIF($G$2:$G143,"Não Conforme"),"")</f>
        <v/>
      </c>
    </row>
    <row r="144" customFormat="false" ht="15" hidden="false" customHeight="true" outlineLevel="0" collapsed="false">
      <c r="A144" s="9" t="s">
        <v>311</v>
      </c>
      <c r="B144" s="10" t="s">
        <v>31</v>
      </c>
      <c r="C144" s="11" t="s">
        <v>312</v>
      </c>
      <c r="D144" s="9" t="n">
        <v>2</v>
      </c>
      <c r="E144" s="11" t="s">
        <v>315</v>
      </c>
      <c r="F144" s="11" t="s">
        <v>316</v>
      </c>
      <c r="G144" s="9"/>
      <c r="H144" s="11"/>
      <c r="I144" s="9"/>
      <c r="J144" s="10"/>
      <c r="K144" s="9"/>
      <c r="L144" s="9" t="s">
        <v>35</v>
      </c>
      <c r="N144" s="0" t="str">
        <f aca="false">IF($G144="Não Conforme",COUNTIF($G$2:$G144,"Não Conforme"),"")</f>
        <v/>
      </c>
    </row>
    <row r="145" customFormat="false" ht="15" hidden="false" customHeight="true" outlineLevel="0" collapsed="false">
      <c r="A145" s="9" t="s">
        <v>311</v>
      </c>
      <c r="B145" s="10" t="s">
        <v>31</v>
      </c>
      <c r="C145" s="11" t="s">
        <v>312</v>
      </c>
      <c r="D145" s="9" t="n">
        <v>3</v>
      </c>
      <c r="E145" s="11" t="s">
        <v>317</v>
      </c>
      <c r="F145" s="11" t="s">
        <v>318</v>
      </c>
      <c r="G145" s="9"/>
      <c r="H145" s="11"/>
      <c r="I145" s="9"/>
      <c r="J145" s="10"/>
      <c r="K145" s="9"/>
      <c r="L145" s="9" t="s">
        <v>35</v>
      </c>
      <c r="N145" s="0" t="str">
        <f aca="false">IF($G145="Não Conforme",COUNTIF($G$2:$G145,"Não Conforme"),"")</f>
        <v/>
      </c>
    </row>
    <row r="146" customFormat="false" ht="15" hidden="false" customHeight="true" outlineLevel="0" collapsed="false">
      <c r="A146" s="9" t="s">
        <v>311</v>
      </c>
      <c r="B146" s="10" t="s">
        <v>31</v>
      </c>
      <c r="C146" s="11" t="s">
        <v>312</v>
      </c>
      <c r="D146" s="9" t="n">
        <v>4</v>
      </c>
      <c r="E146" s="11" t="s">
        <v>319</v>
      </c>
      <c r="F146" s="11" t="s">
        <v>320</v>
      </c>
      <c r="G146" s="9"/>
      <c r="H146" s="11"/>
      <c r="I146" s="9"/>
      <c r="J146" s="10"/>
      <c r="K146" s="9"/>
      <c r="L146" s="9" t="s">
        <v>35</v>
      </c>
      <c r="N146" s="0" t="str">
        <f aca="false">IF($G146="Não Conforme",COUNTIF($G$2:$G146,"Não Conforme"),"")</f>
        <v/>
      </c>
    </row>
    <row r="147" customFormat="false" ht="15" hidden="false" customHeight="true" outlineLevel="0" collapsed="false">
      <c r="A147" s="9" t="s">
        <v>311</v>
      </c>
      <c r="B147" s="10" t="s">
        <v>31</v>
      </c>
      <c r="C147" s="11" t="s">
        <v>312</v>
      </c>
      <c r="D147" s="9" t="n">
        <v>5</v>
      </c>
      <c r="E147" s="11" t="s">
        <v>321</v>
      </c>
      <c r="F147" s="11" t="s">
        <v>322</v>
      </c>
      <c r="G147" s="9"/>
      <c r="H147" s="11"/>
      <c r="I147" s="9"/>
      <c r="J147" s="10"/>
      <c r="K147" s="9"/>
      <c r="L147" s="9" t="s">
        <v>35</v>
      </c>
      <c r="N147" s="0" t="str">
        <f aca="false">IF($G147="Não Conforme",COUNTIF($G$2:$G147,"Não Conforme"),"")</f>
        <v/>
      </c>
    </row>
    <row r="148" customFormat="false" ht="15" hidden="false" customHeight="true" outlineLevel="0" collapsed="false">
      <c r="A148" s="9" t="s">
        <v>311</v>
      </c>
      <c r="B148" s="10" t="s">
        <v>31</v>
      </c>
      <c r="C148" s="11" t="s">
        <v>312</v>
      </c>
      <c r="D148" s="9" t="n">
        <v>6</v>
      </c>
      <c r="E148" s="11" t="s">
        <v>323</v>
      </c>
      <c r="F148" s="11" t="s">
        <v>324</v>
      </c>
      <c r="G148" s="9"/>
      <c r="H148" s="11"/>
      <c r="I148" s="9"/>
      <c r="J148" s="10"/>
      <c r="K148" s="9"/>
      <c r="L148" s="9" t="s">
        <v>35</v>
      </c>
      <c r="N148" s="0" t="str">
        <f aca="false">IF($G148="Não Conforme",COUNTIF($G$2:$G148,"Não Conforme"),"")</f>
        <v/>
      </c>
    </row>
    <row r="149" customFormat="false" ht="15" hidden="false" customHeight="true" outlineLevel="0" collapsed="false">
      <c r="A149" s="9" t="s">
        <v>311</v>
      </c>
      <c r="B149" s="10" t="s">
        <v>31</v>
      </c>
      <c r="C149" s="11" t="s">
        <v>312</v>
      </c>
      <c r="D149" s="9" t="n">
        <v>7</v>
      </c>
      <c r="E149" s="11" t="s">
        <v>325</v>
      </c>
      <c r="F149" s="11" t="s">
        <v>326</v>
      </c>
      <c r="G149" s="9"/>
      <c r="H149" s="11"/>
      <c r="I149" s="9"/>
      <c r="J149" s="10"/>
      <c r="K149" s="9"/>
      <c r="L149" s="9" t="s">
        <v>35</v>
      </c>
      <c r="N149" s="0" t="str">
        <f aca="false">IF($G149="Não Conforme",COUNTIF($G$2:$G149,"Não Conforme"),"")</f>
        <v/>
      </c>
    </row>
    <row r="150" customFormat="false" ht="15" hidden="false" customHeight="true" outlineLevel="0" collapsed="false">
      <c r="A150" s="9" t="s">
        <v>311</v>
      </c>
      <c r="B150" s="10" t="s">
        <v>31</v>
      </c>
      <c r="C150" s="11" t="s">
        <v>312</v>
      </c>
      <c r="D150" s="9" t="n">
        <v>8</v>
      </c>
      <c r="E150" s="11" t="s">
        <v>327</v>
      </c>
      <c r="F150" s="11" t="s">
        <v>328</v>
      </c>
      <c r="G150" s="9"/>
      <c r="H150" s="11"/>
      <c r="I150" s="9"/>
      <c r="J150" s="10"/>
      <c r="K150" s="9"/>
      <c r="L150" s="9" t="s">
        <v>35</v>
      </c>
      <c r="N150" s="0" t="str">
        <f aca="false">IF($G150="Não Conforme",COUNTIF($G$2:$G150,"Não Conforme"),"")</f>
        <v/>
      </c>
    </row>
    <row r="151" customFormat="false" ht="15" hidden="false" customHeight="true" outlineLevel="0" collapsed="false">
      <c r="A151" s="7" t="s">
        <v>329</v>
      </c>
      <c r="B151" s="7" t="s">
        <v>31</v>
      </c>
      <c r="C151" s="7" t="s">
        <v>330</v>
      </c>
      <c r="D151" s="8"/>
      <c r="E151" s="8"/>
      <c r="F151" s="8"/>
      <c r="G151" s="8"/>
      <c r="H151" s="8"/>
      <c r="I151" s="8"/>
      <c r="J151" s="8"/>
      <c r="K151" s="8"/>
      <c r="L151" s="8"/>
      <c r="N151" s="0" t="str">
        <f aca="false">IF($G151="Não Conforme",COUNTIF($G$2:$G151,"Não Conforme"),"")</f>
        <v/>
      </c>
    </row>
    <row r="152" customFormat="false" ht="23.25" hidden="false" customHeight="true" outlineLevel="0" collapsed="false">
      <c r="A152" s="9" t="s">
        <v>329</v>
      </c>
      <c r="B152" s="10" t="s">
        <v>31</v>
      </c>
      <c r="C152" s="11" t="s">
        <v>330</v>
      </c>
      <c r="D152" s="9" t="n">
        <v>1</v>
      </c>
      <c r="E152" s="11" t="s">
        <v>331</v>
      </c>
      <c r="F152" s="11" t="s">
        <v>332</v>
      </c>
      <c r="G152" s="9"/>
      <c r="H152" s="11"/>
      <c r="I152" s="9"/>
      <c r="J152" s="10"/>
      <c r="K152" s="9"/>
      <c r="L152" s="9" t="s">
        <v>35</v>
      </c>
      <c r="N152" s="0" t="str">
        <f aca="false">IF($G152="Não Conforme",COUNTIF($G$2:$G152,"Não Conforme"),"")</f>
        <v/>
      </c>
    </row>
    <row r="153" customFormat="false" ht="23.25" hidden="false" customHeight="true" outlineLevel="0" collapsed="false">
      <c r="A153" s="9" t="s">
        <v>329</v>
      </c>
      <c r="B153" s="10" t="s">
        <v>31</v>
      </c>
      <c r="C153" s="11" t="s">
        <v>330</v>
      </c>
      <c r="D153" s="9" t="n">
        <v>2</v>
      </c>
      <c r="E153" s="11" t="s">
        <v>333</v>
      </c>
      <c r="F153" s="11" t="s">
        <v>334</v>
      </c>
      <c r="G153" s="9"/>
      <c r="H153" s="11"/>
      <c r="I153" s="9"/>
      <c r="J153" s="10"/>
      <c r="K153" s="9"/>
      <c r="L153" s="9" t="s">
        <v>35</v>
      </c>
      <c r="N153" s="0" t="str">
        <f aca="false">IF($G153="Não Conforme",COUNTIF($G$2:$G153,"Não Conforme"),"")</f>
        <v/>
      </c>
    </row>
    <row r="154" customFormat="false" ht="23.25" hidden="false" customHeight="true" outlineLevel="0" collapsed="false">
      <c r="A154" s="9" t="s">
        <v>329</v>
      </c>
      <c r="B154" s="10" t="s">
        <v>31</v>
      </c>
      <c r="C154" s="11" t="s">
        <v>330</v>
      </c>
      <c r="D154" s="9" t="n">
        <v>3</v>
      </c>
      <c r="E154" s="11" t="s">
        <v>335</v>
      </c>
      <c r="F154" s="11" t="s">
        <v>336</v>
      </c>
      <c r="G154" s="9"/>
      <c r="H154" s="11"/>
      <c r="I154" s="9"/>
      <c r="J154" s="10"/>
      <c r="K154" s="9"/>
      <c r="L154" s="9" t="s">
        <v>35</v>
      </c>
      <c r="N154" s="0" t="str">
        <f aca="false">IF($G154="Não Conforme",COUNTIF($G$2:$G154,"Não Conforme"),"")</f>
        <v/>
      </c>
    </row>
    <row r="155" customFormat="false" ht="23.25" hidden="false" customHeight="true" outlineLevel="0" collapsed="false">
      <c r="A155" s="9" t="s">
        <v>329</v>
      </c>
      <c r="B155" s="10" t="s">
        <v>31</v>
      </c>
      <c r="C155" s="11" t="s">
        <v>330</v>
      </c>
      <c r="D155" s="9" t="n">
        <v>4</v>
      </c>
      <c r="E155" s="11" t="s">
        <v>337</v>
      </c>
      <c r="F155" s="11" t="s">
        <v>338</v>
      </c>
      <c r="G155" s="9"/>
      <c r="H155" s="11"/>
      <c r="I155" s="9"/>
      <c r="J155" s="10"/>
      <c r="K155" s="9"/>
      <c r="L155" s="9" t="s">
        <v>35</v>
      </c>
      <c r="N155" s="0" t="str">
        <f aca="false">IF($G155="Não Conforme",COUNTIF($G$2:$G155,"Não Conforme"),"")</f>
        <v/>
      </c>
    </row>
    <row r="156" customFormat="false" ht="23.25" hidden="false" customHeight="true" outlineLevel="0" collapsed="false">
      <c r="A156" s="9" t="s">
        <v>329</v>
      </c>
      <c r="B156" s="10" t="s">
        <v>31</v>
      </c>
      <c r="C156" s="11" t="s">
        <v>330</v>
      </c>
      <c r="D156" s="9" t="n">
        <v>5</v>
      </c>
      <c r="E156" s="11" t="s">
        <v>339</v>
      </c>
      <c r="F156" s="11" t="s">
        <v>340</v>
      </c>
      <c r="G156" s="9"/>
      <c r="H156" s="11"/>
      <c r="I156" s="9"/>
      <c r="J156" s="10"/>
      <c r="K156" s="9"/>
      <c r="L156" s="9" t="s">
        <v>35</v>
      </c>
      <c r="N156" s="0" t="str">
        <f aca="false">IF($G156="Não Conforme",COUNTIF($G$2:$G156,"Não Conforme"),"")</f>
        <v/>
      </c>
    </row>
    <row r="157" customFormat="false" ht="23.25" hidden="false" customHeight="true" outlineLevel="0" collapsed="false">
      <c r="A157" s="9" t="s">
        <v>329</v>
      </c>
      <c r="B157" s="10" t="s">
        <v>31</v>
      </c>
      <c r="C157" s="11" t="s">
        <v>330</v>
      </c>
      <c r="D157" s="9" t="n">
        <v>6</v>
      </c>
      <c r="E157" s="11" t="s">
        <v>341</v>
      </c>
      <c r="F157" s="11" t="s">
        <v>342</v>
      </c>
      <c r="G157" s="9"/>
      <c r="H157" s="11"/>
      <c r="I157" s="9"/>
      <c r="J157" s="10"/>
      <c r="K157" s="9"/>
      <c r="L157" s="9" t="s">
        <v>35</v>
      </c>
      <c r="N157" s="0" t="str">
        <f aca="false">IF($G157="Não Conforme",COUNTIF($G$2:$G157,"Não Conforme"),"")</f>
        <v/>
      </c>
    </row>
    <row r="158" customFormat="false" ht="23.25" hidden="false" customHeight="true" outlineLevel="0" collapsed="false">
      <c r="A158" s="9" t="s">
        <v>329</v>
      </c>
      <c r="B158" s="10" t="s">
        <v>31</v>
      </c>
      <c r="C158" s="11" t="s">
        <v>330</v>
      </c>
      <c r="D158" s="9" t="n">
        <v>7</v>
      </c>
      <c r="E158" s="11" t="s">
        <v>343</v>
      </c>
      <c r="F158" s="11" t="s">
        <v>344</v>
      </c>
      <c r="G158" s="9"/>
      <c r="H158" s="11"/>
      <c r="I158" s="9"/>
      <c r="J158" s="10"/>
      <c r="K158" s="9"/>
      <c r="L158" s="9" t="s">
        <v>35</v>
      </c>
      <c r="N158" s="0" t="str">
        <f aca="false">IF($G158="Não Conforme",COUNTIF($G$2:$G158,"Não Conforme"),"")</f>
        <v/>
      </c>
    </row>
    <row r="159" customFormat="false" ht="23.25" hidden="false" customHeight="true" outlineLevel="0" collapsed="false">
      <c r="A159" s="9" t="s">
        <v>329</v>
      </c>
      <c r="B159" s="10" t="s">
        <v>31</v>
      </c>
      <c r="C159" s="11" t="s">
        <v>330</v>
      </c>
      <c r="D159" s="9" t="n">
        <v>8</v>
      </c>
      <c r="E159" s="11" t="s">
        <v>345</v>
      </c>
      <c r="F159" s="11" t="s">
        <v>346</v>
      </c>
      <c r="G159" s="9"/>
      <c r="H159" s="11"/>
      <c r="I159" s="9"/>
      <c r="J159" s="10"/>
      <c r="K159" s="9"/>
      <c r="L159" s="9" t="s">
        <v>35</v>
      </c>
      <c r="N159" s="0" t="str">
        <f aca="false">IF($G159="Não Conforme",COUNTIF($G$2:$G159,"Não Conforme"),"")</f>
        <v/>
      </c>
    </row>
    <row r="160" customFormat="false" ht="15" hidden="false" customHeight="true" outlineLevel="0" collapsed="false">
      <c r="A160" s="7" t="s">
        <v>347</v>
      </c>
      <c r="B160" s="7" t="s">
        <v>31</v>
      </c>
      <c r="C160" s="7" t="s">
        <v>348</v>
      </c>
      <c r="D160" s="8"/>
      <c r="E160" s="8"/>
      <c r="F160" s="8"/>
      <c r="G160" s="8"/>
      <c r="H160" s="8"/>
      <c r="I160" s="8"/>
      <c r="J160" s="8"/>
      <c r="K160" s="8"/>
      <c r="L160" s="8"/>
      <c r="N160" s="0" t="str">
        <f aca="false">IF($G160="Não Conforme",COUNTIF($G$2:$G160,"Não Conforme"),"")</f>
        <v/>
      </c>
    </row>
    <row r="161" customFormat="false" ht="15" hidden="false" customHeight="true" outlineLevel="0" collapsed="false">
      <c r="A161" s="9" t="s">
        <v>347</v>
      </c>
      <c r="B161" s="10" t="s">
        <v>31</v>
      </c>
      <c r="C161" s="11" t="s">
        <v>348</v>
      </c>
      <c r="D161" s="9" t="n">
        <v>1</v>
      </c>
      <c r="E161" s="11" t="s">
        <v>349</v>
      </c>
      <c r="F161" s="11" t="s">
        <v>350</v>
      </c>
      <c r="G161" s="9"/>
      <c r="H161" s="11"/>
      <c r="I161" s="9"/>
      <c r="J161" s="10"/>
      <c r="K161" s="9"/>
      <c r="L161" s="9" t="s">
        <v>35</v>
      </c>
      <c r="N161" s="0" t="str">
        <f aca="false">IF($G161="Não Conforme",COUNTIF($G$2:$G161,"Não Conforme"),"")</f>
        <v/>
      </c>
    </row>
    <row r="162" customFormat="false" ht="15" hidden="false" customHeight="true" outlineLevel="0" collapsed="false">
      <c r="A162" s="9" t="s">
        <v>347</v>
      </c>
      <c r="B162" s="10" t="s">
        <v>31</v>
      </c>
      <c r="C162" s="11" t="s">
        <v>348</v>
      </c>
      <c r="D162" s="9" t="n">
        <v>2</v>
      </c>
      <c r="E162" s="11" t="s">
        <v>351</v>
      </c>
      <c r="F162" s="11" t="s">
        <v>352</v>
      </c>
      <c r="G162" s="9"/>
      <c r="H162" s="11"/>
      <c r="I162" s="9"/>
      <c r="J162" s="10"/>
      <c r="K162" s="9"/>
      <c r="L162" s="9" t="s">
        <v>35</v>
      </c>
      <c r="N162" s="0" t="str">
        <f aca="false">IF($G162="Não Conforme",COUNTIF($G$2:$G162,"Não Conforme"),"")</f>
        <v/>
      </c>
    </row>
    <row r="163" customFormat="false" ht="15" hidden="false" customHeight="true" outlineLevel="0" collapsed="false">
      <c r="A163" s="9" t="s">
        <v>347</v>
      </c>
      <c r="B163" s="10" t="s">
        <v>31</v>
      </c>
      <c r="C163" s="11" t="s">
        <v>348</v>
      </c>
      <c r="D163" s="9" t="n">
        <v>3</v>
      </c>
      <c r="E163" s="11" t="s">
        <v>353</v>
      </c>
      <c r="F163" s="11" t="s">
        <v>354</v>
      </c>
      <c r="G163" s="9"/>
      <c r="H163" s="11"/>
      <c r="I163" s="9"/>
      <c r="J163" s="10"/>
      <c r="K163" s="9"/>
      <c r="L163" s="9" t="s">
        <v>35</v>
      </c>
      <c r="N163" s="0" t="str">
        <f aca="false">IF($G163="Não Conforme",COUNTIF($G$2:$G163,"Não Conforme"),"")</f>
        <v/>
      </c>
    </row>
    <row r="164" customFormat="false" ht="15" hidden="false" customHeight="true" outlineLevel="0" collapsed="false">
      <c r="A164" s="9" t="s">
        <v>347</v>
      </c>
      <c r="B164" s="10" t="s">
        <v>31</v>
      </c>
      <c r="C164" s="11" t="s">
        <v>348</v>
      </c>
      <c r="D164" s="9" t="n">
        <v>4</v>
      </c>
      <c r="E164" s="11" t="s">
        <v>355</v>
      </c>
      <c r="F164" s="11" t="s">
        <v>356</v>
      </c>
      <c r="G164" s="9"/>
      <c r="H164" s="11"/>
      <c r="I164" s="9"/>
      <c r="J164" s="10"/>
      <c r="K164" s="9"/>
      <c r="L164" s="9" t="s">
        <v>35</v>
      </c>
      <c r="N164" s="0" t="str">
        <f aca="false">IF($G164="Não Conforme",COUNTIF($G$2:$G164,"Não Conforme"),"")</f>
        <v/>
      </c>
    </row>
    <row r="165" customFormat="false" ht="15" hidden="false" customHeight="true" outlineLevel="0" collapsed="false">
      <c r="A165" s="9" t="s">
        <v>347</v>
      </c>
      <c r="B165" s="10" t="s">
        <v>31</v>
      </c>
      <c r="C165" s="11" t="s">
        <v>348</v>
      </c>
      <c r="D165" s="9" t="n">
        <v>5</v>
      </c>
      <c r="E165" s="11" t="s">
        <v>357</v>
      </c>
      <c r="F165" s="11" t="s">
        <v>358</v>
      </c>
      <c r="G165" s="9"/>
      <c r="H165" s="11"/>
      <c r="I165" s="9"/>
      <c r="J165" s="10"/>
      <c r="K165" s="9"/>
      <c r="L165" s="9" t="s">
        <v>35</v>
      </c>
      <c r="N165" s="0" t="str">
        <f aca="false">IF($G165="Não Conforme",COUNTIF($G$2:$G165,"Não Conforme"),"")</f>
        <v/>
      </c>
    </row>
    <row r="166" customFormat="false" ht="15" hidden="false" customHeight="true" outlineLevel="0" collapsed="false">
      <c r="A166" s="9" t="s">
        <v>347</v>
      </c>
      <c r="B166" s="10" t="s">
        <v>31</v>
      </c>
      <c r="C166" s="11" t="s">
        <v>348</v>
      </c>
      <c r="D166" s="9" t="n">
        <v>6</v>
      </c>
      <c r="E166" s="11" t="s">
        <v>359</v>
      </c>
      <c r="F166" s="11" t="s">
        <v>360</v>
      </c>
      <c r="G166" s="9"/>
      <c r="H166" s="11"/>
      <c r="I166" s="9"/>
      <c r="J166" s="10"/>
      <c r="K166" s="9"/>
      <c r="L166" s="9" t="s">
        <v>35</v>
      </c>
      <c r="N166" s="0" t="str">
        <f aca="false">IF($G166="Não Conforme",COUNTIF($G$2:$G166,"Não Conforme"),"")</f>
        <v/>
      </c>
    </row>
    <row r="167" customFormat="false" ht="15" hidden="false" customHeight="true" outlineLevel="0" collapsed="false">
      <c r="A167" s="9" t="s">
        <v>347</v>
      </c>
      <c r="B167" s="10" t="s">
        <v>31</v>
      </c>
      <c r="C167" s="11" t="s">
        <v>348</v>
      </c>
      <c r="D167" s="9" t="n">
        <v>7</v>
      </c>
      <c r="E167" s="11" t="s">
        <v>361</v>
      </c>
      <c r="F167" s="11" t="s">
        <v>362</v>
      </c>
      <c r="G167" s="9"/>
      <c r="H167" s="11"/>
      <c r="I167" s="9"/>
      <c r="J167" s="10"/>
      <c r="K167" s="9"/>
      <c r="L167" s="9" t="s">
        <v>35</v>
      </c>
      <c r="N167" s="0" t="str">
        <f aca="false">IF($G167="Não Conforme",COUNTIF($G$2:$G167,"Não Conforme"),"")</f>
        <v/>
      </c>
    </row>
    <row r="168" customFormat="false" ht="15" hidden="false" customHeight="true" outlineLevel="0" collapsed="false">
      <c r="A168" s="9" t="s">
        <v>347</v>
      </c>
      <c r="B168" s="10" t="s">
        <v>31</v>
      </c>
      <c r="C168" s="11" t="s">
        <v>348</v>
      </c>
      <c r="D168" s="9" t="n">
        <v>8</v>
      </c>
      <c r="E168" s="11" t="s">
        <v>363</v>
      </c>
      <c r="F168" s="11" t="s">
        <v>364</v>
      </c>
      <c r="G168" s="9"/>
      <c r="H168" s="11"/>
      <c r="I168" s="9"/>
      <c r="J168" s="10"/>
      <c r="K168" s="9"/>
      <c r="L168" s="9" t="s">
        <v>35</v>
      </c>
      <c r="N168" s="0" t="str">
        <f aca="false">IF($G168="Não Conforme",COUNTIF($G$2:$G168,"Não Conforme"),"")</f>
        <v/>
      </c>
    </row>
    <row r="169" customFormat="false" ht="15" hidden="false" customHeight="true" outlineLevel="0" collapsed="false">
      <c r="A169" s="7" t="s">
        <v>365</v>
      </c>
      <c r="B169" s="7" t="s">
        <v>366</v>
      </c>
      <c r="C169" s="7" t="s">
        <v>367</v>
      </c>
      <c r="D169" s="8"/>
      <c r="E169" s="8"/>
      <c r="F169" s="8"/>
      <c r="G169" s="8"/>
      <c r="H169" s="8"/>
      <c r="I169" s="8"/>
      <c r="J169" s="8"/>
      <c r="K169" s="8"/>
      <c r="L169" s="8"/>
      <c r="N169" s="0" t="str">
        <f aca="false">IF($G169="Não Conforme",COUNTIF($G$2:$G169,"Não Conforme"),"")</f>
        <v/>
      </c>
    </row>
    <row r="170" customFormat="false" ht="15" hidden="false" customHeight="true" outlineLevel="0" collapsed="false">
      <c r="A170" s="9" t="s">
        <v>365</v>
      </c>
      <c r="B170" s="10" t="s">
        <v>366</v>
      </c>
      <c r="C170" s="11" t="s">
        <v>367</v>
      </c>
      <c r="D170" s="9" t="n">
        <v>1</v>
      </c>
      <c r="E170" s="11" t="s">
        <v>368</v>
      </c>
      <c r="F170" s="11" t="s">
        <v>369</v>
      </c>
      <c r="G170" s="9"/>
      <c r="H170" s="11"/>
      <c r="I170" s="9"/>
      <c r="J170" s="10"/>
      <c r="K170" s="9"/>
      <c r="L170" s="9" t="s">
        <v>35</v>
      </c>
      <c r="N170" s="0" t="str">
        <f aca="false">IF($G170="Não Conforme",COUNTIF($G$2:$G170,"Não Conforme"),"")</f>
        <v/>
      </c>
    </row>
    <row r="171" customFormat="false" ht="15" hidden="false" customHeight="true" outlineLevel="0" collapsed="false">
      <c r="A171" s="9" t="s">
        <v>365</v>
      </c>
      <c r="B171" s="10" t="s">
        <v>366</v>
      </c>
      <c r="C171" s="11" t="s">
        <v>367</v>
      </c>
      <c r="D171" s="9" t="n">
        <v>2</v>
      </c>
      <c r="E171" s="11" t="s">
        <v>370</v>
      </c>
      <c r="F171" s="11" t="s">
        <v>371</v>
      </c>
      <c r="G171" s="9"/>
      <c r="H171" s="11"/>
      <c r="I171" s="9"/>
      <c r="J171" s="10"/>
      <c r="K171" s="9"/>
      <c r="L171" s="9" t="s">
        <v>35</v>
      </c>
      <c r="N171" s="0" t="str">
        <f aca="false">IF($G171="Não Conforme",COUNTIF($G$2:$G171,"Não Conforme"),"")</f>
        <v/>
      </c>
    </row>
    <row r="172" customFormat="false" ht="15" hidden="false" customHeight="true" outlineLevel="0" collapsed="false">
      <c r="A172" s="9" t="s">
        <v>365</v>
      </c>
      <c r="B172" s="10" t="s">
        <v>366</v>
      </c>
      <c r="C172" s="11" t="s">
        <v>367</v>
      </c>
      <c r="D172" s="9" t="n">
        <v>3</v>
      </c>
      <c r="E172" s="11" t="s">
        <v>372</v>
      </c>
      <c r="F172" s="11" t="s">
        <v>373</v>
      </c>
      <c r="G172" s="9"/>
      <c r="H172" s="11"/>
      <c r="I172" s="9"/>
      <c r="J172" s="10"/>
      <c r="K172" s="9"/>
      <c r="L172" s="9" t="s">
        <v>35</v>
      </c>
      <c r="N172" s="0" t="str">
        <f aca="false">IF($G172="Não Conforme",COUNTIF($G$2:$G172,"Não Conforme"),"")</f>
        <v/>
      </c>
    </row>
    <row r="173" customFormat="false" ht="15" hidden="false" customHeight="true" outlineLevel="0" collapsed="false">
      <c r="A173" s="9" t="s">
        <v>365</v>
      </c>
      <c r="B173" s="10" t="s">
        <v>366</v>
      </c>
      <c r="C173" s="11" t="s">
        <v>367</v>
      </c>
      <c r="D173" s="9" t="n">
        <v>4</v>
      </c>
      <c r="E173" s="11" t="s">
        <v>374</v>
      </c>
      <c r="F173" s="11" t="s">
        <v>375</v>
      </c>
      <c r="G173" s="9"/>
      <c r="H173" s="11"/>
      <c r="I173" s="9"/>
      <c r="J173" s="10"/>
      <c r="K173" s="9"/>
      <c r="L173" s="9" t="s">
        <v>35</v>
      </c>
      <c r="N173" s="0" t="str">
        <f aca="false">IF($G173="Não Conforme",COUNTIF($G$2:$G173,"Não Conforme"),"")</f>
        <v/>
      </c>
    </row>
    <row r="174" customFormat="false" ht="15" hidden="false" customHeight="true" outlineLevel="0" collapsed="false">
      <c r="A174" s="9" t="s">
        <v>365</v>
      </c>
      <c r="B174" s="10" t="s">
        <v>366</v>
      </c>
      <c r="C174" s="11" t="s">
        <v>367</v>
      </c>
      <c r="D174" s="9" t="n">
        <v>5</v>
      </c>
      <c r="E174" s="11" t="s">
        <v>376</v>
      </c>
      <c r="F174" s="11" t="s">
        <v>377</v>
      </c>
      <c r="G174" s="9"/>
      <c r="H174" s="11"/>
      <c r="I174" s="9"/>
      <c r="J174" s="10"/>
      <c r="K174" s="9"/>
      <c r="L174" s="9" t="s">
        <v>35</v>
      </c>
      <c r="N174" s="0" t="str">
        <f aca="false">IF($G174="Não Conforme",COUNTIF($G$2:$G174,"Não Conforme"),"")</f>
        <v/>
      </c>
    </row>
    <row r="175" customFormat="false" ht="15" hidden="false" customHeight="true" outlineLevel="0" collapsed="false">
      <c r="A175" s="9" t="s">
        <v>365</v>
      </c>
      <c r="B175" s="10" t="s">
        <v>366</v>
      </c>
      <c r="C175" s="11" t="s">
        <v>367</v>
      </c>
      <c r="D175" s="9" t="n">
        <v>6</v>
      </c>
      <c r="E175" s="11" t="s">
        <v>378</v>
      </c>
      <c r="F175" s="11" t="s">
        <v>379</v>
      </c>
      <c r="G175" s="9"/>
      <c r="H175" s="11"/>
      <c r="I175" s="9"/>
      <c r="J175" s="10"/>
      <c r="K175" s="9"/>
      <c r="L175" s="9" t="s">
        <v>35</v>
      </c>
      <c r="N175" s="0" t="str">
        <f aca="false">IF($G175="Não Conforme",COUNTIF($G$2:$G175,"Não Conforme"),"")</f>
        <v/>
      </c>
    </row>
    <row r="176" customFormat="false" ht="15" hidden="false" customHeight="true" outlineLevel="0" collapsed="false">
      <c r="A176" s="9" t="s">
        <v>365</v>
      </c>
      <c r="B176" s="10" t="s">
        <v>366</v>
      </c>
      <c r="C176" s="11" t="s">
        <v>367</v>
      </c>
      <c r="D176" s="9" t="n">
        <v>7</v>
      </c>
      <c r="E176" s="11" t="s">
        <v>380</v>
      </c>
      <c r="F176" s="11" t="s">
        <v>381</v>
      </c>
      <c r="G176" s="9"/>
      <c r="H176" s="11"/>
      <c r="I176" s="9"/>
      <c r="J176" s="10"/>
      <c r="K176" s="9"/>
      <c r="L176" s="9" t="s">
        <v>35</v>
      </c>
      <c r="N176" s="0" t="str">
        <f aca="false">IF($G176="Não Conforme",COUNTIF($G$2:$G176,"Não Conforme"),"")</f>
        <v/>
      </c>
    </row>
    <row r="177" customFormat="false" ht="15" hidden="false" customHeight="true" outlineLevel="0" collapsed="false">
      <c r="A177" s="7" t="s">
        <v>382</v>
      </c>
      <c r="B177" s="7" t="s">
        <v>366</v>
      </c>
      <c r="C177" s="7" t="s">
        <v>383</v>
      </c>
      <c r="D177" s="8"/>
      <c r="E177" s="8"/>
      <c r="F177" s="8"/>
      <c r="G177" s="8"/>
      <c r="H177" s="8"/>
      <c r="I177" s="8"/>
      <c r="J177" s="8"/>
      <c r="K177" s="8"/>
      <c r="L177" s="8"/>
      <c r="N177" s="0" t="str">
        <f aca="false">IF($G177="Não Conforme",COUNTIF($G$2:$G177,"Não Conforme"),"")</f>
        <v/>
      </c>
    </row>
    <row r="178" customFormat="false" ht="15" hidden="false" customHeight="true" outlineLevel="0" collapsed="false">
      <c r="A178" s="9" t="s">
        <v>382</v>
      </c>
      <c r="B178" s="10" t="s">
        <v>366</v>
      </c>
      <c r="C178" s="11" t="s">
        <v>383</v>
      </c>
      <c r="D178" s="9" t="n">
        <v>1</v>
      </c>
      <c r="E178" s="11" t="s">
        <v>384</v>
      </c>
      <c r="F178" s="11" t="s">
        <v>385</v>
      </c>
      <c r="G178" s="9"/>
      <c r="H178" s="11"/>
      <c r="I178" s="9"/>
      <c r="J178" s="10"/>
      <c r="K178" s="9"/>
      <c r="L178" s="9" t="s">
        <v>35</v>
      </c>
      <c r="N178" s="0" t="str">
        <f aca="false">IF($G178="Não Conforme",COUNTIF($G$2:$G178,"Não Conforme"),"")</f>
        <v/>
      </c>
    </row>
    <row r="179" customFormat="false" ht="15" hidden="false" customHeight="true" outlineLevel="0" collapsed="false">
      <c r="A179" s="9" t="s">
        <v>382</v>
      </c>
      <c r="B179" s="10" t="s">
        <v>366</v>
      </c>
      <c r="C179" s="11" t="s">
        <v>383</v>
      </c>
      <c r="D179" s="9" t="n">
        <v>2</v>
      </c>
      <c r="E179" s="11" t="s">
        <v>386</v>
      </c>
      <c r="F179" s="11" t="s">
        <v>387</v>
      </c>
      <c r="G179" s="9"/>
      <c r="H179" s="11"/>
      <c r="I179" s="9"/>
      <c r="J179" s="10"/>
      <c r="K179" s="9"/>
      <c r="L179" s="9" t="s">
        <v>35</v>
      </c>
      <c r="N179" s="0" t="str">
        <f aca="false">IF($G179="Não Conforme",COUNTIF($G$2:$G179,"Não Conforme"),"")</f>
        <v/>
      </c>
    </row>
    <row r="180" customFormat="false" ht="15" hidden="false" customHeight="true" outlineLevel="0" collapsed="false">
      <c r="A180" s="9" t="s">
        <v>382</v>
      </c>
      <c r="B180" s="10" t="s">
        <v>366</v>
      </c>
      <c r="C180" s="11" t="s">
        <v>383</v>
      </c>
      <c r="D180" s="9" t="n">
        <v>3</v>
      </c>
      <c r="E180" s="11" t="s">
        <v>388</v>
      </c>
      <c r="F180" s="11" t="s">
        <v>389</v>
      </c>
      <c r="G180" s="9"/>
      <c r="H180" s="11"/>
      <c r="I180" s="9"/>
      <c r="J180" s="10"/>
      <c r="K180" s="9"/>
      <c r="L180" s="9" t="s">
        <v>35</v>
      </c>
      <c r="N180" s="0" t="str">
        <f aca="false">IF($G180="Não Conforme",COUNTIF($G$2:$G180,"Não Conforme"),"")</f>
        <v/>
      </c>
    </row>
    <row r="181" customFormat="false" ht="15" hidden="false" customHeight="true" outlineLevel="0" collapsed="false">
      <c r="A181" s="9" t="s">
        <v>382</v>
      </c>
      <c r="B181" s="10" t="s">
        <v>366</v>
      </c>
      <c r="C181" s="11" t="s">
        <v>383</v>
      </c>
      <c r="D181" s="9" t="n">
        <v>4</v>
      </c>
      <c r="E181" s="11" t="s">
        <v>390</v>
      </c>
      <c r="F181" s="11" t="s">
        <v>391</v>
      </c>
      <c r="G181" s="9"/>
      <c r="H181" s="11"/>
      <c r="I181" s="9"/>
      <c r="J181" s="10"/>
      <c r="K181" s="9"/>
      <c r="L181" s="9" t="s">
        <v>35</v>
      </c>
      <c r="N181" s="0" t="str">
        <f aca="false">IF($G181="Não Conforme",COUNTIF($G$2:$G181,"Não Conforme"),"")</f>
        <v/>
      </c>
    </row>
    <row r="182" customFormat="false" ht="15" hidden="false" customHeight="true" outlineLevel="0" collapsed="false">
      <c r="A182" s="9" t="s">
        <v>382</v>
      </c>
      <c r="B182" s="10" t="s">
        <v>366</v>
      </c>
      <c r="C182" s="11" t="s">
        <v>383</v>
      </c>
      <c r="D182" s="9" t="n">
        <v>5</v>
      </c>
      <c r="E182" s="11" t="s">
        <v>392</v>
      </c>
      <c r="F182" s="11" t="s">
        <v>393</v>
      </c>
      <c r="G182" s="9"/>
      <c r="H182" s="11"/>
      <c r="I182" s="9"/>
      <c r="J182" s="10"/>
      <c r="K182" s="9"/>
      <c r="L182" s="9" t="s">
        <v>35</v>
      </c>
      <c r="N182" s="0" t="str">
        <f aca="false">IF($G182="Não Conforme",COUNTIF($G$2:$G182,"Não Conforme"),"")</f>
        <v/>
      </c>
    </row>
    <row r="183" customFormat="false" ht="15" hidden="false" customHeight="true" outlineLevel="0" collapsed="false">
      <c r="A183" s="7" t="s">
        <v>394</v>
      </c>
      <c r="B183" s="7" t="s">
        <v>366</v>
      </c>
      <c r="C183" s="7" t="s">
        <v>395</v>
      </c>
      <c r="D183" s="8"/>
      <c r="E183" s="8"/>
      <c r="F183" s="8"/>
      <c r="G183" s="8"/>
      <c r="H183" s="8"/>
      <c r="I183" s="8"/>
      <c r="J183" s="8"/>
      <c r="K183" s="8"/>
      <c r="L183" s="8"/>
      <c r="N183" s="0" t="str">
        <f aca="false">IF($G183="Não Conforme",COUNTIF($G$2:$G183,"Não Conforme"),"")</f>
        <v/>
      </c>
    </row>
    <row r="184" customFormat="false" ht="15" hidden="false" customHeight="true" outlineLevel="0" collapsed="false">
      <c r="A184" s="9" t="s">
        <v>394</v>
      </c>
      <c r="B184" s="10" t="s">
        <v>366</v>
      </c>
      <c r="C184" s="11" t="s">
        <v>395</v>
      </c>
      <c r="D184" s="9" t="n">
        <v>1</v>
      </c>
      <c r="E184" s="11" t="s">
        <v>396</v>
      </c>
      <c r="F184" s="11" t="s">
        <v>397</v>
      </c>
      <c r="G184" s="9"/>
      <c r="H184" s="11"/>
      <c r="I184" s="9"/>
      <c r="J184" s="10"/>
      <c r="K184" s="9"/>
      <c r="L184" s="9" t="s">
        <v>35</v>
      </c>
      <c r="N184" s="0" t="str">
        <f aca="false">IF($G184="Não Conforme",COUNTIF($G$2:$G184,"Não Conforme"),"")</f>
        <v/>
      </c>
    </row>
    <row r="185" customFormat="false" ht="15" hidden="false" customHeight="true" outlineLevel="0" collapsed="false">
      <c r="A185" s="9" t="s">
        <v>394</v>
      </c>
      <c r="B185" s="10" t="s">
        <v>366</v>
      </c>
      <c r="C185" s="11" t="s">
        <v>395</v>
      </c>
      <c r="D185" s="9" t="n">
        <v>2</v>
      </c>
      <c r="E185" s="11" t="s">
        <v>398</v>
      </c>
      <c r="F185" s="11" t="s">
        <v>399</v>
      </c>
      <c r="G185" s="9"/>
      <c r="H185" s="11"/>
      <c r="I185" s="9"/>
      <c r="J185" s="10"/>
      <c r="K185" s="9"/>
      <c r="L185" s="9" t="s">
        <v>35</v>
      </c>
      <c r="N185" s="0" t="str">
        <f aca="false">IF($G185="Não Conforme",COUNTIF($G$2:$G185,"Não Conforme"),"")</f>
        <v/>
      </c>
    </row>
    <row r="186" customFormat="false" ht="15" hidden="false" customHeight="true" outlineLevel="0" collapsed="false">
      <c r="A186" s="9" t="s">
        <v>394</v>
      </c>
      <c r="B186" s="10" t="s">
        <v>366</v>
      </c>
      <c r="C186" s="11" t="s">
        <v>395</v>
      </c>
      <c r="D186" s="9" t="n">
        <v>3</v>
      </c>
      <c r="E186" s="11" t="s">
        <v>400</v>
      </c>
      <c r="F186" s="11" t="s">
        <v>401</v>
      </c>
      <c r="G186" s="9"/>
      <c r="H186" s="11"/>
      <c r="I186" s="9"/>
      <c r="J186" s="10"/>
      <c r="K186" s="9"/>
      <c r="L186" s="9" t="s">
        <v>35</v>
      </c>
      <c r="N186" s="0" t="str">
        <f aca="false">IF($G186="Não Conforme",COUNTIF($G$2:$G186,"Não Conforme"),"")</f>
        <v/>
      </c>
    </row>
    <row r="187" customFormat="false" ht="15" hidden="false" customHeight="true" outlineLevel="0" collapsed="false">
      <c r="A187" s="9" t="s">
        <v>394</v>
      </c>
      <c r="B187" s="10" t="s">
        <v>366</v>
      </c>
      <c r="C187" s="11" t="s">
        <v>395</v>
      </c>
      <c r="D187" s="9" t="n">
        <v>4</v>
      </c>
      <c r="E187" s="11" t="s">
        <v>402</v>
      </c>
      <c r="F187" s="11" t="s">
        <v>403</v>
      </c>
      <c r="G187" s="9"/>
      <c r="H187" s="11"/>
      <c r="I187" s="9"/>
      <c r="J187" s="10"/>
      <c r="K187" s="9"/>
      <c r="L187" s="9" t="s">
        <v>35</v>
      </c>
      <c r="N187" s="0" t="str">
        <f aca="false">IF($G187="Não Conforme",COUNTIF($G$2:$G187,"Não Conforme"),"")</f>
        <v/>
      </c>
    </row>
    <row r="188" customFormat="false" ht="15" hidden="false" customHeight="true" outlineLevel="0" collapsed="false">
      <c r="A188" s="9" t="s">
        <v>394</v>
      </c>
      <c r="B188" s="10" t="s">
        <v>366</v>
      </c>
      <c r="C188" s="11" t="s">
        <v>395</v>
      </c>
      <c r="D188" s="9" t="n">
        <v>5</v>
      </c>
      <c r="E188" s="11" t="s">
        <v>404</v>
      </c>
      <c r="F188" s="11" t="s">
        <v>405</v>
      </c>
      <c r="G188" s="9"/>
      <c r="H188" s="11"/>
      <c r="I188" s="9"/>
      <c r="J188" s="10"/>
      <c r="K188" s="9"/>
      <c r="L188" s="9" t="s">
        <v>35</v>
      </c>
      <c r="N188" s="0" t="str">
        <f aca="false">IF($G188="Não Conforme",COUNTIF($G$2:$G188,"Não Conforme"),"")</f>
        <v/>
      </c>
    </row>
    <row r="189" customFormat="false" ht="15" hidden="false" customHeight="true" outlineLevel="0" collapsed="false">
      <c r="A189" s="7" t="s">
        <v>406</v>
      </c>
      <c r="B189" s="7" t="s">
        <v>366</v>
      </c>
      <c r="C189" s="7" t="s">
        <v>407</v>
      </c>
      <c r="D189" s="8"/>
      <c r="E189" s="8"/>
      <c r="F189" s="8"/>
      <c r="G189" s="8"/>
      <c r="H189" s="8"/>
      <c r="I189" s="8"/>
      <c r="J189" s="8"/>
      <c r="K189" s="8"/>
      <c r="L189" s="8"/>
      <c r="N189" s="0" t="str">
        <f aca="false">IF($G189="Não Conforme",COUNTIF($G$2:$G189,"Não Conforme"),"")</f>
        <v/>
      </c>
    </row>
    <row r="190" customFormat="false" ht="15" hidden="false" customHeight="true" outlineLevel="0" collapsed="false">
      <c r="A190" s="9" t="s">
        <v>406</v>
      </c>
      <c r="B190" s="10" t="s">
        <v>366</v>
      </c>
      <c r="C190" s="11" t="s">
        <v>407</v>
      </c>
      <c r="D190" s="9" t="n">
        <v>1</v>
      </c>
      <c r="E190" s="11" t="s">
        <v>408</v>
      </c>
      <c r="F190" s="11" t="s">
        <v>409</v>
      </c>
      <c r="G190" s="9"/>
      <c r="H190" s="11"/>
      <c r="I190" s="9"/>
      <c r="J190" s="10"/>
      <c r="K190" s="9"/>
      <c r="L190" s="9" t="s">
        <v>35</v>
      </c>
      <c r="N190" s="0" t="str">
        <f aca="false">IF($G190="Não Conforme",COUNTIF($G$2:$G190,"Não Conforme"),"")</f>
        <v/>
      </c>
    </row>
    <row r="191" customFormat="false" ht="15" hidden="false" customHeight="true" outlineLevel="0" collapsed="false">
      <c r="A191" s="9" t="s">
        <v>406</v>
      </c>
      <c r="B191" s="10" t="s">
        <v>366</v>
      </c>
      <c r="C191" s="11" t="s">
        <v>407</v>
      </c>
      <c r="D191" s="9" t="n">
        <v>2</v>
      </c>
      <c r="E191" s="11" t="s">
        <v>410</v>
      </c>
      <c r="F191" s="11" t="s">
        <v>411</v>
      </c>
      <c r="G191" s="9"/>
      <c r="H191" s="11"/>
      <c r="I191" s="9"/>
      <c r="J191" s="10"/>
      <c r="K191" s="9"/>
      <c r="L191" s="9" t="s">
        <v>35</v>
      </c>
      <c r="N191" s="0" t="str">
        <f aca="false">IF($G191="Não Conforme",COUNTIF($G$2:$G191,"Não Conforme"),"")</f>
        <v/>
      </c>
    </row>
    <row r="192" customFormat="false" ht="15" hidden="false" customHeight="true" outlineLevel="0" collapsed="false">
      <c r="A192" s="9" t="s">
        <v>406</v>
      </c>
      <c r="B192" s="10" t="s">
        <v>366</v>
      </c>
      <c r="C192" s="11" t="s">
        <v>407</v>
      </c>
      <c r="D192" s="9" t="n">
        <v>3</v>
      </c>
      <c r="E192" s="11" t="s">
        <v>412</v>
      </c>
      <c r="F192" s="11" t="s">
        <v>413</v>
      </c>
      <c r="G192" s="9"/>
      <c r="H192" s="11"/>
      <c r="I192" s="9"/>
      <c r="J192" s="10"/>
      <c r="K192" s="9"/>
      <c r="L192" s="9" t="s">
        <v>35</v>
      </c>
      <c r="N192" s="0" t="str">
        <f aca="false">IF($G192="Não Conforme",COUNTIF($G$2:$G192,"Não Conforme"),"")</f>
        <v/>
      </c>
    </row>
    <row r="193" customFormat="false" ht="15" hidden="false" customHeight="true" outlineLevel="0" collapsed="false">
      <c r="A193" s="9" t="s">
        <v>406</v>
      </c>
      <c r="B193" s="10" t="s">
        <v>366</v>
      </c>
      <c r="C193" s="11" t="s">
        <v>407</v>
      </c>
      <c r="D193" s="9" t="n">
        <v>4</v>
      </c>
      <c r="E193" s="11" t="s">
        <v>414</v>
      </c>
      <c r="F193" s="11" t="s">
        <v>415</v>
      </c>
      <c r="G193" s="9"/>
      <c r="H193" s="11"/>
      <c r="I193" s="9"/>
      <c r="J193" s="10"/>
      <c r="K193" s="9"/>
      <c r="L193" s="9" t="s">
        <v>35</v>
      </c>
      <c r="N193" s="0" t="str">
        <f aca="false">IF($G193="Não Conforme",COUNTIF($G$2:$G193,"Não Conforme"),"")</f>
        <v/>
      </c>
    </row>
    <row r="194" customFormat="false" ht="15" hidden="false" customHeight="true" outlineLevel="0" collapsed="false">
      <c r="A194" s="9" t="s">
        <v>406</v>
      </c>
      <c r="B194" s="10" t="s">
        <v>366</v>
      </c>
      <c r="C194" s="11" t="s">
        <v>407</v>
      </c>
      <c r="D194" s="9" t="n">
        <v>5</v>
      </c>
      <c r="E194" s="11" t="s">
        <v>416</v>
      </c>
      <c r="F194" s="11" t="s">
        <v>417</v>
      </c>
      <c r="G194" s="9"/>
      <c r="H194" s="11"/>
      <c r="I194" s="9"/>
      <c r="J194" s="10"/>
      <c r="K194" s="9"/>
      <c r="L194" s="9" t="s">
        <v>35</v>
      </c>
      <c r="N194" s="0" t="str">
        <f aca="false">IF($G194="Não Conforme",COUNTIF($G$2:$G194,"Não Conforme"),"")</f>
        <v/>
      </c>
    </row>
    <row r="195" customFormat="false" ht="15" hidden="false" customHeight="true" outlineLevel="0" collapsed="false">
      <c r="A195" s="9" t="s">
        <v>406</v>
      </c>
      <c r="B195" s="10" t="s">
        <v>366</v>
      </c>
      <c r="C195" s="11" t="s">
        <v>407</v>
      </c>
      <c r="D195" s="9" t="n">
        <v>6</v>
      </c>
      <c r="E195" s="11" t="s">
        <v>418</v>
      </c>
      <c r="F195" s="11" t="s">
        <v>419</v>
      </c>
      <c r="G195" s="9"/>
      <c r="H195" s="11"/>
      <c r="I195" s="9"/>
      <c r="J195" s="10"/>
      <c r="K195" s="9"/>
      <c r="L195" s="9" t="s">
        <v>35</v>
      </c>
      <c r="N195" s="0" t="str">
        <f aca="false">IF($G195="Não Conforme",COUNTIF($G$2:$G195,"Não Conforme"),"")</f>
        <v/>
      </c>
    </row>
    <row r="196" customFormat="false" ht="15" hidden="false" customHeight="true" outlineLevel="0" collapsed="false">
      <c r="A196" s="9" t="s">
        <v>406</v>
      </c>
      <c r="B196" s="10" t="s">
        <v>366</v>
      </c>
      <c r="C196" s="11" t="s">
        <v>407</v>
      </c>
      <c r="D196" s="9" t="n">
        <v>7</v>
      </c>
      <c r="E196" s="11" t="s">
        <v>420</v>
      </c>
      <c r="F196" s="11" t="s">
        <v>421</v>
      </c>
      <c r="G196" s="9"/>
      <c r="H196" s="11"/>
      <c r="I196" s="9"/>
      <c r="J196" s="10"/>
      <c r="K196" s="9"/>
      <c r="L196" s="9" t="s">
        <v>35</v>
      </c>
      <c r="N196" s="0" t="str">
        <f aca="false">IF($G196="Não Conforme",COUNTIF($G$2:$G196,"Não Conforme"),"")</f>
        <v/>
      </c>
    </row>
    <row r="197" customFormat="false" ht="15" hidden="false" customHeight="true" outlineLevel="0" collapsed="false">
      <c r="A197" s="7" t="s">
        <v>422</v>
      </c>
      <c r="B197" s="7" t="s">
        <v>423</v>
      </c>
      <c r="C197" s="7" t="s">
        <v>424</v>
      </c>
      <c r="D197" s="8"/>
      <c r="E197" s="8"/>
      <c r="F197" s="8"/>
      <c r="G197" s="8"/>
      <c r="H197" s="8"/>
      <c r="I197" s="8"/>
      <c r="J197" s="8"/>
      <c r="K197" s="8"/>
      <c r="L197" s="8"/>
      <c r="N197" s="0" t="str">
        <f aca="false">IF($G197="Não Conforme",COUNTIF($G$2:$G197,"Não Conforme"),"")</f>
        <v/>
      </c>
    </row>
    <row r="198" customFormat="false" ht="15" hidden="false" customHeight="true" outlineLevel="0" collapsed="false">
      <c r="A198" s="9" t="s">
        <v>422</v>
      </c>
      <c r="B198" s="10" t="s">
        <v>423</v>
      </c>
      <c r="C198" s="11" t="s">
        <v>424</v>
      </c>
      <c r="D198" s="9" t="n">
        <v>1</v>
      </c>
      <c r="E198" s="11" t="s">
        <v>425</v>
      </c>
      <c r="F198" s="11" t="s">
        <v>426</v>
      </c>
      <c r="G198" s="9"/>
      <c r="H198" s="11"/>
      <c r="I198" s="9"/>
      <c r="J198" s="10"/>
      <c r="K198" s="9"/>
      <c r="L198" s="9" t="s">
        <v>35</v>
      </c>
      <c r="N198" s="0" t="str">
        <f aca="false">IF($G198="Não Conforme",COUNTIF($G$2:$G198,"Não Conforme"),"")</f>
        <v/>
      </c>
    </row>
    <row r="199" customFormat="false" ht="15" hidden="false" customHeight="true" outlineLevel="0" collapsed="false">
      <c r="A199" s="9" t="s">
        <v>422</v>
      </c>
      <c r="B199" s="10" t="s">
        <v>423</v>
      </c>
      <c r="C199" s="11" t="s">
        <v>424</v>
      </c>
      <c r="D199" s="9" t="n">
        <v>2</v>
      </c>
      <c r="E199" s="11" t="s">
        <v>427</v>
      </c>
      <c r="F199" s="11" t="s">
        <v>428</v>
      </c>
      <c r="G199" s="9"/>
      <c r="H199" s="11"/>
      <c r="I199" s="9"/>
      <c r="J199" s="10"/>
      <c r="K199" s="9"/>
      <c r="L199" s="9" t="s">
        <v>35</v>
      </c>
      <c r="N199" s="0" t="str">
        <f aca="false">IF($G199="Não Conforme",COUNTIF($G$2:$G199,"Não Conforme"),"")</f>
        <v/>
      </c>
    </row>
    <row r="200" customFormat="false" ht="15" hidden="false" customHeight="true" outlineLevel="0" collapsed="false">
      <c r="A200" s="9" t="s">
        <v>422</v>
      </c>
      <c r="B200" s="10" t="s">
        <v>423</v>
      </c>
      <c r="C200" s="11" t="s">
        <v>424</v>
      </c>
      <c r="D200" s="9" t="n">
        <v>3</v>
      </c>
      <c r="E200" s="11" t="s">
        <v>429</v>
      </c>
      <c r="F200" s="11" t="s">
        <v>430</v>
      </c>
      <c r="G200" s="9"/>
      <c r="H200" s="11"/>
      <c r="I200" s="9"/>
      <c r="J200" s="10"/>
      <c r="K200" s="9"/>
      <c r="L200" s="9" t="s">
        <v>35</v>
      </c>
      <c r="N200" s="0" t="str">
        <f aca="false">IF($G200="Não Conforme",COUNTIF($G$2:$G200,"Não Conforme"),"")</f>
        <v/>
      </c>
    </row>
    <row r="201" customFormat="false" ht="15" hidden="false" customHeight="true" outlineLevel="0" collapsed="false">
      <c r="A201" s="9" t="s">
        <v>422</v>
      </c>
      <c r="B201" s="10" t="s">
        <v>423</v>
      </c>
      <c r="C201" s="11" t="s">
        <v>424</v>
      </c>
      <c r="D201" s="9" t="n">
        <v>4</v>
      </c>
      <c r="E201" s="11" t="s">
        <v>431</v>
      </c>
      <c r="F201" s="11" t="s">
        <v>432</v>
      </c>
      <c r="G201" s="9"/>
      <c r="H201" s="11"/>
      <c r="I201" s="9"/>
      <c r="J201" s="10"/>
      <c r="K201" s="9"/>
      <c r="L201" s="9" t="s">
        <v>35</v>
      </c>
      <c r="N201" s="0" t="str">
        <f aca="false">IF($G201="Não Conforme",COUNTIF($G$2:$G201,"Não Conforme"),"")</f>
        <v/>
      </c>
    </row>
    <row r="202" customFormat="false" ht="15" hidden="false" customHeight="true" outlineLevel="0" collapsed="false">
      <c r="A202" s="9" t="s">
        <v>422</v>
      </c>
      <c r="B202" s="10" t="s">
        <v>423</v>
      </c>
      <c r="C202" s="11" t="s">
        <v>424</v>
      </c>
      <c r="D202" s="9" t="n">
        <v>5</v>
      </c>
      <c r="E202" s="11" t="s">
        <v>433</v>
      </c>
      <c r="F202" s="11" t="s">
        <v>434</v>
      </c>
      <c r="G202" s="9"/>
      <c r="H202" s="11"/>
      <c r="I202" s="9"/>
      <c r="J202" s="10"/>
      <c r="K202" s="9"/>
      <c r="L202" s="9" t="s">
        <v>35</v>
      </c>
      <c r="N202" s="0" t="str">
        <f aca="false">IF($G202="Não Conforme",COUNTIF($G$2:$G202,"Não Conforme"),"")</f>
        <v/>
      </c>
    </row>
    <row r="203" customFormat="false" ht="15" hidden="false" customHeight="true" outlineLevel="0" collapsed="false">
      <c r="A203" s="7" t="s">
        <v>435</v>
      </c>
      <c r="B203" s="7" t="s">
        <v>423</v>
      </c>
      <c r="C203" s="7" t="s">
        <v>436</v>
      </c>
      <c r="D203" s="8"/>
      <c r="E203" s="8"/>
      <c r="F203" s="8"/>
      <c r="G203" s="8"/>
      <c r="H203" s="8"/>
      <c r="I203" s="8"/>
      <c r="J203" s="8"/>
      <c r="K203" s="8"/>
      <c r="L203" s="8"/>
      <c r="N203" s="0" t="str">
        <f aca="false">IF($G203="Não Conforme",COUNTIF($G$2:$G203,"Não Conforme"),"")</f>
        <v/>
      </c>
    </row>
    <row r="204" customFormat="false" ht="15" hidden="false" customHeight="true" outlineLevel="0" collapsed="false">
      <c r="A204" s="9" t="s">
        <v>435</v>
      </c>
      <c r="B204" s="10" t="s">
        <v>423</v>
      </c>
      <c r="C204" s="11" t="s">
        <v>436</v>
      </c>
      <c r="D204" s="9" t="n">
        <v>1</v>
      </c>
      <c r="E204" s="11" t="s">
        <v>437</v>
      </c>
      <c r="F204" s="11" t="s">
        <v>438</v>
      </c>
      <c r="G204" s="9"/>
      <c r="H204" s="11"/>
      <c r="I204" s="9"/>
      <c r="J204" s="10"/>
      <c r="K204" s="9"/>
      <c r="L204" s="9" t="s">
        <v>35</v>
      </c>
      <c r="N204" s="0" t="str">
        <f aca="false">IF($G204="Não Conforme",COUNTIF($G$2:$G204,"Não Conforme"),"")</f>
        <v/>
      </c>
    </row>
    <row r="205" customFormat="false" ht="15" hidden="false" customHeight="true" outlineLevel="0" collapsed="false">
      <c r="A205" s="9" t="s">
        <v>435</v>
      </c>
      <c r="B205" s="10" t="s">
        <v>423</v>
      </c>
      <c r="C205" s="11" t="s">
        <v>436</v>
      </c>
      <c r="D205" s="9" t="n">
        <v>2</v>
      </c>
      <c r="E205" s="11" t="s">
        <v>439</v>
      </c>
      <c r="F205" s="11" t="s">
        <v>440</v>
      </c>
      <c r="G205" s="9"/>
      <c r="H205" s="11"/>
      <c r="I205" s="9"/>
      <c r="J205" s="10"/>
      <c r="K205" s="9"/>
      <c r="L205" s="9" t="s">
        <v>35</v>
      </c>
      <c r="N205" s="0" t="str">
        <f aca="false">IF($G205="Não Conforme",COUNTIF($G$2:$G205,"Não Conforme"),"")</f>
        <v/>
      </c>
    </row>
    <row r="206" customFormat="false" ht="15" hidden="false" customHeight="true" outlineLevel="0" collapsed="false">
      <c r="A206" s="9" t="s">
        <v>435</v>
      </c>
      <c r="B206" s="10" t="s">
        <v>423</v>
      </c>
      <c r="C206" s="11" t="s">
        <v>436</v>
      </c>
      <c r="D206" s="9" t="n">
        <v>3</v>
      </c>
      <c r="E206" s="11" t="s">
        <v>441</v>
      </c>
      <c r="F206" s="11" t="s">
        <v>442</v>
      </c>
      <c r="G206" s="9"/>
      <c r="H206" s="11"/>
      <c r="I206" s="9"/>
      <c r="J206" s="10"/>
      <c r="K206" s="9"/>
      <c r="L206" s="9" t="s">
        <v>35</v>
      </c>
      <c r="N206" s="0" t="str">
        <f aca="false">IF($G206="Não Conforme",COUNTIF($G$2:$G206,"Não Conforme"),"")</f>
        <v/>
      </c>
    </row>
    <row r="207" customFormat="false" ht="15" hidden="false" customHeight="true" outlineLevel="0" collapsed="false">
      <c r="A207" s="9" t="s">
        <v>435</v>
      </c>
      <c r="B207" s="10" t="s">
        <v>423</v>
      </c>
      <c r="C207" s="11" t="s">
        <v>436</v>
      </c>
      <c r="D207" s="9" t="n">
        <v>4</v>
      </c>
      <c r="E207" s="11" t="s">
        <v>443</v>
      </c>
      <c r="F207" s="11" t="s">
        <v>444</v>
      </c>
      <c r="G207" s="9"/>
      <c r="H207" s="11"/>
      <c r="I207" s="9"/>
      <c r="J207" s="10"/>
      <c r="K207" s="9"/>
      <c r="L207" s="9" t="s">
        <v>35</v>
      </c>
      <c r="N207" s="0" t="str">
        <f aca="false">IF($G207="Não Conforme",COUNTIF($G$2:$G207,"Não Conforme"),"")</f>
        <v/>
      </c>
    </row>
    <row r="208" customFormat="false" ht="15" hidden="false" customHeight="true" outlineLevel="0" collapsed="false">
      <c r="A208" s="9" t="s">
        <v>435</v>
      </c>
      <c r="B208" s="10" t="s">
        <v>423</v>
      </c>
      <c r="C208" s="11" t="s">
        <v>436</v>
      </c>
      <c r="D208" s="9" t="n">
        <v>5</v>
      </c>
      <c r="E208" s="11" t="s">
        <v>445</v>
      </c>
      <c r="F208" s="11" t="s">
        <v>446</v>
      </c>
      <c r="G208" s="9"/>
      <c r="H208" s="11"/>
      <c r="I208" s="9"/>
      <c r="J208" s="10"/>
      <c r="K208" s="9"/>
      <c r="L208" s="9" t="s">
        <v>35</v>
      </c>
      <c r="N208" s="0" t="str">
        <f aca="false">IF($G208="Não Conforme",COUNTIF($G$2:$G208,"Não Conforme"),"")</f>
        <v/>
      </c>
    </row>
    <row r="209" customFormat="false" ht="15" hidden="false" customHeight="true" outlineLevel="0" collapsed="false">
      <c r="A209" s="9" t="s">
        <v>435</v>
      </c>
      <c r="B209" s="10" t="s">
        <v>423</v>
      </c>
      <c r="C209" s="11" t="s">
        <v>436</v>
      </c>
      <c r="D209" s="9" t="n">
        <v>6</v>
      </c>
      <c r="E209" s="11" t="s">
        <v>447</v>
      </c>
      <c r="F209" s="11" t="s">
        <v>448</v>
      </c>
      <c r="G209" s="9"/>
      <c r="H209" s="11"/>
      <c r="I209" s="9"/>
      <c r="J209" s="10"/>
      <c r="K209" s="9"/>
      <c r="L209" s="9" t="s">
        <v>35</v>
      </c>
      <c r="N209" s="0" t="str">
        <f aca="false">IF($G209="Não Conforme",COUNTIF($G$2:$G209,"Não Conforme"),"")</f>
        <v/>
      </c>
    </row>
    <row r="210" customFormat="false" ht="15" hidden="false" customHeight="true" outlineLevel="0" collapsed="false">
      <c r="A210" s="9" t="s">
        <v>435</v>
      </c>
      <c r="B210" s="10" t="s">
        <v>423</v>
      </c>
      <c r="C210" s="11" t="s">
        <v>436</v>
      </c>
      <c r="D210" s="9" t="n">
        <v>7</v>
      </c>
      <c r="E210" s="11" t="s">
        <v>449</v>
      </c>
      <c r="F210" s="11" t="s">
        <v>450</v>
      </c>
      <c r="G210" s="9"/>
      <c r="H210" s="11"/>
      <c r="I210" s="9"/>
      <c r="J210" s="10"/>
      <c r="K210" s="9"/>
      <c r="L210" s="9" t="s">
        <v>35</v>
      </c>
      <c r="N210" s="0" t="str">
        <f aca="false">IF($G210="Não Conforme",COUNTIF($G$2:$G210,"Não Conforme"),"")</f>
        <v/>
      </c>
    </row>
    <row r="211" customFormat="false" ht="15" hidden="false" customHeight="true" outlineLevel="0" collapsed="false">
      <c r="A211" s="9" t="s">
        <v>435</v>
      </c>
      <c r="B211" s="10" t="s">
        <v>423</v>
      </c>
      <c r="C211" s="11" t="s">
        <v>436</v>
      </c>
      <c r="D211" s="9" t="n">
        <v>8</v>
      </c>
      <c r="E211" s="11" t="s">
        <v>451</v>
      </c>
      <c r="F211" s="11" t="s">
        <v>452</v>
      </c>
      <c r="G211" s="9"/>
      <c r="H211" s="11"/>
      <c r="I211" s="9"/>
      <c r="J211" s="10"/>
      <c r="K211" s="9"/>
      <c r="L211" s="9" t="s">
        <v>35</v>
      </c>
      <c r="N211" s="0" t="str">
        <f aca="false">IF($G211="Não Conforme",COUNTIF($G$2:$G211,"Não Conforme"),"")</f>
        <v/>
      </c>
    </row>
    <row r="212" customFormat="false" ht="15" hidden="false" customHeight="true" outlineLevel="0" collapsed="false">
      <c r="A212" s="9" t="s">
        <v>435</v>
      </c>
      <c r="B212" s="10" t="s">
        <v>423</v>
      </c>
      <c r="C212" s="11" t="s">
        <v>436</v>
      </c>
      <c r="D212" s="9" t="n">
        <v>9</v>
      </c>
      <c r="E212" s="11" t="s">
        <v>453</v>
      </c>
      <c r="F212" s="11" t="s">
        <v>454</v>
      </c>
      <c r="G212" s="9"/>
      <c r="H212" s="11"/>
      <c r="I212" s="9"/>
      <c r="J212" s="10"/>
      <c r="K212" s="9"/>
      <c r="L212" s="9" t="s">
        <v>35</v>
      </c>
      <c r="N212" s="0" t="str">
        <f aca="false">IF($G212="Não Conforme",COUNTIF($G$2:$G212,"Não Conforme"),"")</f>
        <v/>
      </c>
    </row>
    <row r="213" customFormat="false" ht="15" hidden="false" customHeight="true" outlineLevel="0" collapsed="false">
      <c r="A213" s="9" t="s">
        <v>435</v>
      </c>
      <c r="B213" s="10" t="s">
        <v>423</v>
      </c>
      <c r="C213" s="11" t="s">
        <v>436</v>
      </c>
      <c r="D213" s="9" t="n">
        <v>10</v>
      </c>
      <c r="E213" s="11" t="s">
        <v>455</v>
      </c>
      <c r="F213" s="11" t="s">
        <v>456</v>
      </c>
      <c r="G213" s="9"/>
      <c r="H213" s="11"/>
      <c r="I213" s="9"/>
      <c r="J213" s="10"/>
      <c r="K213" s="9"/>
      <c r="L213" s="9" t="s">
        <v>35</v>
      </c>
      <c r="N213" s="0" t="str">
        <f aca="false">IF($G213="Não Conforme",COUNTIF($G$2:$G213,"Não Conforme"),"")</f>
        <v/>
      </c>
    </row>
    <row r="214" customFormat="false" ht="15" hidden="false" customHeight="true" outlineLevel="0" collapsed="false">
      <c r="A214" s="7" t="s">
        <v>457</v>
      </c>
      <c r="B214" s="7" t="s">
        <v>458</v>
      </c>
      <c r="C214" s="7" t="s">
        <v>459</v>
      </c>
      <c r="D214" s="8"/>
      <c r="E214" s="8"/>
      <c r="F214" s="8"/>
      <c r="G214" s="8"/>
      <c r="H214" s="8"/>
      <c r="I214" s="8"/>
      <c r="J214" s="8"/>
      <c r="K214" s="8"/>
      <c r="L214" s="8"/>
      <c r="N214" s="0" t="str">
        <f aca="false">IF($G214="Não Conforme",COUNTIF($G$2:$G214,"Não Conforme"),"")</f>
        <v/>
      </c>
    </row>
    <row r="215" customFormat="false" ht="15" hidden="false" customHeight="true" outlineLevel="0" collapsed="false">
      <c r="A215" s="9" t="s">
        <v>457</v>
      </c>
      <c r="B215" s="10" t="s">
        <v>458</v>
      </c>
      <c r="C215" s="11" t="s">
        <v>459</v>
      </c>
      <c r="D215" s="9" t="n">
        <v>1</v>
      </c>
      <c r="E215" s="11" t="s">
        <v>460</v>
      </c>
      <c r="F215" s="11" t="s">
        <v>461</v>
      </c>
      <c r="G215" s="9"/>
      <c r="H215" s="11"/>
      <c r="I215" s="9"/>
      <c r="J215" s="10"/>
      <c r="K215" s="9"/>
      <c r="L215" s="9" t="s">
        <v>35</v>
      </c>
      <c r="N215" s="0" t="str">
        <f aca="false">IF($G215="Não Conforme",COUNTIF($G$2:$G215,"Não Conforme"),"")</f>
        <v/>
      </c>
    </row>
    <row r="216" customFormat="false" ht="15" hidden="false" customHeight="true" outlineLevel="0" collapsed="false">
      <c r="A216" s="9" t="s">
        <v>457</v>
      </c>
      <c r="B216" s="10" t="s">
        <v>458</v>
      </c>
      <c r="C216" s="11" t="s">
        <v>459</v>
      </c>
      <c r="D216" s="9" t="n">
        <v>2</v>
      </c>
      <c r="E216" s="11" t="s">
        <v>462</v>
      </c>
      <c r="F216" s="11" t="s">
        <v>463</v>
      </c>
      <c r="G216" s="9"/>
      <c r="H216" s="11"/>
      <c r="I216" s="9"/>
      <c r="J216" s="10"/>
      <c r="K216" s="9"/>
      <c r="L216" s="9" t="s">
        <v>35</v>
      </c>
      <c r="N216" s="0" t="str">
        <f aca="false">IF($G216="Não Conforme",COUNTIF($G$2:$G216,"Não Conforme"),"")</f>
        <v/>
      </c>
    </row>
    <row r="217" customFormat="false" ht="15" hidden="false" customHeight="true" outlineLevel="0" collapsed="false">
      <c r="A217" s="9" t="s">
        <v>457</v>
      </c>
      <c r="B217" s="10" t="s">
        <v>458</v>
      </c>
      <c r="C217" s="11" t="s">
        <v>459</v>
      </c>
      <c r="D217" s="9" t="n">
        <v>3</v>
      </c>
      <c r="E217" s="11" t="s">
        <v>156</v>
      </c>
      <c r="F217" s="11" t="s">
        <v>464</v>
      </c>
      <c r="G217" s="9"/>
      <c r="H217" s="11"/>
      <c r="I217" s="9"/>
      <c r="J217" s="10"/>
      <c r="K217" s="9"/>
      <c r="L217" s="9" t="s">
        <v>35</v>
      </c>
      <c r="N217" s="0" t="str">
        <f aca="false">IF($G217="Não Conforme",COUNTIF($G$2:$G217,"Não Conforme"),"")</f>
        <v/>
      </c>
    </row>
    <row r="218" customFormat="false" ht="15" hidden="false" customHeight="true" outlineLevel="0" collapsed="false">
      <c r="A218" s="9" t="s">
        <v>457</v>
      </c>
      <c r="B218" s="10" t="s">
        <v>458</v>
      </c>
      <c r="C218" s="11" t="s">
        <v>459</v>
      </c>
      <c r="D218" s="9" t="n">
        <v>4</v>
      </c>
      <c r="E218" s="11" t="s">
        <v>465</v>
      </c>
      <c r="F218" s="11" t="s">
        <v>466</v>
      </c>
      <c r="G218" s="9"/>
      <c r="H218" s="11"/>
      <c r="I218" s="9"/>
      <c r="J218" s="10"/>
      <c r="K218" s="9"/>
      <c r="L218" s="9" t="s">
        <v>35</v>
      </c>
      <c r="N218" s="0" t="str">
        <f aca="false">IF($G218="Não Conforme",COUNTIF($G$2:$G218,"Não Conforme"),"")</f>
        <v/>
      </c>
    </row>
    <row r="219" customFormat="false" ht="15" hidden="false" customHeight="true" outlineLevel="0" collapsed="false">
      <c r="A219" s="9" t="s">
        <v>457</v>
      </c>
      <c r="B219" s="10" t="s">
        <v>458</v>
      </c>
      <c r="C219" s="11" t="s">
        <v>459</v>
      </c>
      <c r="D219" s="9" t="n">
        <v>5</v>
      </c>
      <c r="E219" s="11" t="s">
        <v>467</v>
      </c>
      <c r="F219" s="11" t="s">
        <v>468</v>
      </c>
      <c r="G219" s="9"/>
      <c r="H219" s="11"/>
      <c r="I219" s="9"/>
      <c r="J219" s="10"/>
      <c r="K219" s="9"/>
      <c r="L219" s="9" t="s">
        <v>35</v>
      </c>
      <c r="N219" s="0" t="str">
        <f aca="false">IF($G219="Não Conforme",COUNTIF($G$2:$G219,"Não Conforme"),"")</f>
        <v/>
      </c>
    </row>
    <row r="220" customFormat="false" ht="15" hidden="false" customHeight="true" outlineLevel="0" collapsed="false">
      <c r="A220" s="9" t="s">
        <v>457</v>
      </c>
      <c r="B220" s="10" t="s">
        <v>458</v>
      </c>
      <c r="C220" s="11" t="s">
        <v>459</v>
      </c>
      <c r="D220" s="9" t="n">
        <v>6</v>
      </c>
      <c r="E220" s="11" t="s">
        <v>469</v>
      </c>
      <c r="F220" s="11" t="s">
        <v>470</v>
      </c>
      <c r="G220" s="9"/>
      <c r="H220" s="11"/>
      <c r="I220" s="9"/>
      <c r="J220" s="10"/>
      <c r="K220" s="9"/>
      <c r="L220" s="9" t="s">
        <v>35</v>
      </c>
      <c r="N220" s="0" t="str">
        <f aca="false">IF($G220="Não Conforme",COUNTIF($G$2:$G220,"Não Conforme"),"")</f>
        <v/>
      </c>
    </row>
    <row r="221" customFormat="false" ht="15" hidden="false" customHeight="true" outlineLevel="0" collapsed="false">
      <c r="A221" s="9" t="s">
        <v>457</v>
      </c>
      <c r="B221" s="10" t="s">
        <v>458</v>
      </c>
      <c r="C221" s="11" t="s">
        <v>459</v>
      </c>
      <c r="D221" s="9" t="n">
        <v>7</v>
      </c>
      <c r="E221" s="11" t="s">
        <v>471</v>
      </c>
      <c r="F221" s="11" t="s">
        <v>472</v>
      </c>
      <c r="G221" s="9"/>
      <c r="H221" s="11"/>
      <c r="I221" s="9"/>
      <c r="J221" s="10"/>
      <c r="K221" s="9"/>
      <c r="L221" s="9" t="s">
        <v>35</v>
      </c>
      <c r="N221" s="0" t="str">
        <f aca="false">IF($G221="Não Conforme",COUNTIF($G$2:$G221,"Não Conforme"),"")</f>
        <v/>
      </c>
    </row>
    <row r="222" customFormat="false" ht="15" hidden="false" customHeight="true" outlineLevel="0" collapsed="false">
      <c r="A222" s="9" t="s">
        <v>457</v>
      </c>
      <c r="B222" s="10" t="s">
        <v>458</v>
      </c>
      <c r="C222" s="11" t="s">
        <v>459</v>
      </c>
      <c r="D222" s="9" t="n">
        <v>8</v>
      </c>
      <c r="E222" s="11" t="s">
        <v>473</v>
      </c>
      <c r="F222" s="11" t="s">
        <v>474</v>
      </c>
      <c r="G222" s="9"/>
      <c r="H222" s="11"/>
      <c r="I222" s="9"/>
      <c r="J222" s="10"/>
      <c r="K222" s="9"/>
      <c r="L222" s="9" t="s">
        <v>35</v>
      </c>
      <c r="N222" s="0" t="str">
        <f aca="false">IF($G222="Não Conforme",COUNTIF($G$2:$G222,"Não Conforme"),"")</f>
        <v/>
      </c>
    </row>
    <row r="223" customFormat="false" ht="15" hidden="false" customHeight="true" outlineLevel="0" collapsed="false">
      <c r="A223" s="9" t="s">
        <v>457</v>
      </c>
      <c r="B223" s="10" t="s">
        <v>458</v>
      </c>
      <c r="C223" s="11" t="s">
        <v>459</v>
      </c>
      <c r="D223" s="9" t="n">
        <v>9</v>
      </c>
      <c r="E223" s="11" t="s">
        <v>475</v>
      </c>
      <c r="F223" s="11" t="s">
        <v>476</v>
      </c>
      <c r="G223" s="9"/>
      <c r="H223" s="11"/>
      <c r="I223" s="9"/>
      <c r="J223" s="10"/>
      <c r="K223" s="9"/>
      <c r="L223" s="9" t="s">
        <v>35</v>
      </c>
      <c r="N223" s="0" t="str">
        <f aca="false">IF($G223="Não Conforme",COUNTIF($G$2:$G223,"Não Conforme"),"")</f>
        <v/>
      </c>
    </row>
    <row r="224" customFormat="false" ht="15" hidden="false" customHeight="true" outlineLevel="0" collapsed="false">
      <c r="A224" s="9" t="s">
        <v>457</v>
      </c>
      <c r="B224" s="10" t="s">
        <v>458</v>
      </c>
      <c r="C224" s="11" t="s">
        <v>459</v>
      </c>
      <c r="D224" s="9" t="n">
        <v>10</v>
      </c>
      <c r="E224" s="11" t="s">
        <v>477</v>
      </c>
      <c r="F224" s="11" t="s">
        <v>478</v>
      </c>
      <c r="G224" s="9"/>
      <c r="H224" s="11"/>
      <c r="I224" s="9"/>
      <c r="J224" s="10"/>
      <c r="K224" s="9"/>
      <c r="L224" s="9" t="s">
        <v>35</v>
      </c>
      <c r="N224" s="0" t="str">
        <f aca="false">IF($G224="Não Conforme",COUNTIF($G$2:$G224,"Não Conforme"),"")</f>
        <v/>
      </c>
    </row>
    <row r="225" customFormat="false" ht="15" hidden="false" customHeight="true" outlineLevel="0" collapsed="false">
      <c r="A225" s="9" t="s">
        <v>457</v>
      </c>
      <c r="B225" s="10" t="s">
        <v>458</v>
      </c>
      <c r="C225" s="11" t="s">
        <v>459</v>
      </c>
      <c r="D225" s="9" t="n">
        <v>11</v>
      </c>
      <c r="E225" s="11" t="s">
        <v>479</v>
      </c>
      <c r="F225" s="11" t="s">
        <v>480</v>
      </c>
      <c r="G225" s="9"/>
      <c r="H225" s="11"/>
      <c r="I225" s="9"/>
      <c r="J225" s="10"/>
      <c r="K225" s="9"/>
      <c r="L225" s="9" t="s">
        <v>35</v>
      </c>
      <c r="N225" s="0" t="str">
        <f aca="false">IF($G225="Não Conforme",COUNTIF($G$2:$G225,"Não Conforme"),"")</f>
        <v/>
      </c>
    </row>
    <row r="226" customFormat="false" ht="15" hidden="false" customHeight="true" outlineLevel="0" collapsed="false">
      <c r="A226" s="7" t="s">
        <v>481</v>
      </c>
      <c r="B226" s="7" t="s">
        <v>482</v>
      </c>
      <c r="C226" s="7" t="s">
        <v>483</v>
      </c>
      <c r="D226" s="8"/>
      <c r="E226" s="8"/>
      <c r="F226" s="8"/>
      <c r="G226" s="8"/>
      <c r="H226" s="8"/>
      <c r="I226" s="8"/>
      <c r="J226" s="8"/>
      <c r="K226" s="8"/>
      <c r="L226" s="8"/>
      <c r="N226" s="0" t="str">
        <f aca="false">IF($G226="Não Conforme",COUNTIF($G$2:$G226,"Não Conforme"),"")</f>
        <v/>
      </c>
    </row>
    <row r="227" customFormat="false" ht="15" hidden="false" customHeight="true" outlineLevel="0" collapsed="false">
      <c r="A227" s="9" t="s">
        <v>481</v>
      </c>
      <c r="B227" s="10" t="s">
        <v>482</v>
      </c>
      <c r="C227" s="11" t="s">
        <v>483</v>
      </c>
      <c r="D227" s="9" t="n">
        <v>1</v>
      </c>
      <c r="E227" s="11" t="s">
        <v>484</v>
      </c>
      <c r="F227" s="11" t="s">
        <v>485</v>
      </c>
      <c r="G227" s="9"/>
      <c r="H227" s="11"/>
      <c r="I227" s="9"/>
      <c r="J227" s="10"/>
      <c r="K227" s="9"/>
      <c r="L227" s="9" t="s">
        <v>35</v>
      </c>
      <c r="N227" s="0" t="str">
        <f aca="false">IF($G227="Não Conforme",COUNTIF($G$2:$G227,"Não Conforme"),"")</f>
        <v/>
      </c>
    </row>
    <row r="228" customFormat="false" ht="23.25" hidden="false" customHeight="true" outlineLevel="0" collapsed="false">
      <c r="A228" s="9" t="s">
        <v>481</v>
      </c>
      <c r="B228" s="10" t="s">
        <v>482</v>
      </c>
      <c r="C228" s="11" t="s">
        <v>483</v>
      </c>
      <c r="D228" s="9" t="n">
        <v>2</v>
      </c>
      <c r="E228" s="11" t="s">
        <v>486</v>
      </c>
      <c r="F228" s="11" t="s">
        <v>487</v>
      </c>
      <c r="G228" s="9"/>
      <c r="H228" s="11"/>
      <c r="I228" s="9"/>
      <c r="J228" s="10"/>
      <c r="K228" s="9"/>
      <c r="L228" s="9" t="s">
        <v>35</v>
      </c>
      <c r="N228" s="0" t="str">
        <f aca="false">IF($G228="Não Conforme",COUNTIF($G$2:$G228,"Não Conforme"),"")</f>
        <v/>
      </c>
    </row>
    <row r="229" customFormat="false" ht="15" hidden="false" customHeight="true" outlineLevel="0" collapsed="false">
      <c r="A229" s="9" t="s">
        <v>481</v>
      </c>
      <c r="B229" s="10" t="s">
        <v>482</v>
      </c>
      <c r="C229" s="11" t="s">
        <v>483</v>
      </c>
      <c r="D229" s="9" t="n">
        <v>3</v>
      </c>
      <c r="E229" s="11" t="s">
        <v>488</v>
      </c>
      <c r="F229" s="11" t="s">
        <v>489</v>
      </c>
      <c r="G229" s="9"/>
      <c r="H229" s="11"/>
      <c r="I229" s="9"/>
      <c r="J229" s="10"/>
      <c r="K229" s="9"/>
      <c r="L229" s="9" t="s">
        <v>35</v>
      </c>
      <c r="N229" s="0" t="str">
        <f aca="false">IF($G229="Não Conforme",COUNTIF($G$2:$G229,"Não Conforme"),"")</f>
        <v/>
      </c>
    </row>
    <row r="230" customFormat="false" ht="15" hidden="false" customHeight="true" outlineLevel="0" collapsed="false">
      <c r="A230" s="9" t="s">
        <v>481</v>
      </c>
      <c r="B230" s="10" t="s">
        <v>482</v>
      </c>
      <c r="C230" s="11" t="s">
        <v>483</v>
      </c>
      <c r="D230" s="9" t="n">
        <v>4</v>
      </c>
      <c r="E230" s="11" t="s">
        <v>490</v>
      </c>
      <c r="F230" s="11" t="s">
        <v>491</v>
      </c>
      <c r="G230" s="9"/>
      <c r="H230" s="11"/>
      <c r="I230" s="9"/>
      <c r="J230" s="10"/>
      <c r="K230" s="9"/>
      <c r="L230" s="9" t="s">
        <v>35</v>
      </c>
      <c r="N230" s="0" t="str">
        <f aca="false">IF($G230="Não Conforme",COUNTIF($G$2:$G230,"Não Conforme"),"")</f>
        <v/>
      </c>
    </row>
    <row r="231" customFormat="false" ht="15" hidden="false" customHeight="true" outlineLevel="0" collapsed="false">
      <c r="A231" s="9" t="s">
        <v>481</v>
      </c>
      <c r="B231" s="10" t="s">
        <v>482</v>
      </c>
      <c r="C231" s="11" t="s">
        <v>483</v>
      </c>
      <c r="D231" s="9" t="n">
        <v>5</v>
      </c>
      <c r="E231" s="11" t="s">
        <v>492</v>
      </c>
      <c r="F231" s="11" t="s">
        <v>493</v>
      </c>
      <c r="G231" s="9"/>
      <c r="H231" s="11"/>
      <c r="I231" s="9"/>
      <c r="J231" s="10"/>
      <c r="K231" s="9"/>
      <c r="L231" s="9" t="s">
        <v>35</v>
      </c>
      <c r="N231" s="0" t="str">
        <f aca="false">IF($G231="Não Conforme",COUNTIF($G$2:$G231,"Não Conforme"),"")</f>
        <v/>
      </c>
    </row>
    <row r="232" customFormat="false" ht="15" hidden="false" customHeight="true" outlineLevel="0" collapsed="false">
      <c r="A232" s="9" t="s">
        <v>481</v>
      </c>
      <c r="B232" s="10" t="s">
        <v>482</v>
      </c>
      <c r="C232" s="11" t="s">
        <v>483</v>
      </c>
      <c r="D232" s="9" t="n">
        <v>6</v>
      </c>
      <c r="E232" s="11" t="s">
        <v>494</v>
      </c>
      <c r="F232" s="11" t="s">
        <v>495</v>
      </c>
      <c r="G232" s="9"/>
      <c r="H232" s="11"/>
      <c r="I232" s="9"/>
      <c r="J232" s="10"/>
      <c r="K232" s="9"/>
      <c r="L232" s="9" t="s">
        <v>35</v>
      </c>
      <c r="N232" s="0" t="str">
        <f aca="false">IF($G232="Não Conforme",COUNTIF($G$2:$G232,"Não Conforme"),"")</f>
        <v/>
      </c>
    </row>
    <row r="233" customFormat="false" ht="15" hidden="false" customHeight="true" outlineLevel="0" collapsed="false">
      <c r="A233" s="9" t="s">
        <v>481</v>
      </c>
      <c r="B233" s="10" t="s">
        <v>482</v>
      </c>
      <c r="C233" s="11" t="s">
        <v>483</v>
      </c>
      <c r="D233" s="9" t="n">
        <v>7</v>
      </c>
      <c r="E233" s="11" t="s">
        <v>496</v>
      </c>
      <c r="F233" s="11" t="s">
        <v>497</v>
      </c>
      <c r="G233" s="9"/>
      <c r="H233" s="11"/>
      <c r="I233" s="9"/>
      <c r="J233" s="10"/>
      <c r="K233" s="9"/>
      <c r="L233" s="9" t="s">
        <v>35</v>
      </c>
      <c r="N233" s="0" t="str">
        <f aca="false">IF($G233="Não Conforme",COUNTIF($G$2:$G233,"Não Conforme"),"")</f>
        <v/>
      </c>
    </row>
    <row r="234" customFormat="false" ht="15" hidden="false" customHeight="true" outlineLevel="0" collapsed="false">
      <c r="A234" s="9" t="s">
        <v>481</v>
      </c>
      <c r="B234" s="10" t="s">
        <v>482</v>
      </c>
      <c r="C234" s="11" t="s">
        <v>483</v>
      </c>
      <c r="D234" s="9" t="n">
        <v>8</v>
      </c>
      <c r="E234" s="11" t="s">
        <v>498</v>
      </c>
      <c r="F234" s="11" t="s">
        <v>499</v>
      </c>
      <c r="G234" s="9"/>
      <c r="H234" s="11"/>
      <c r="I234" s="9"/>
      <c r="J234" s="10"/>
      <c r="K234" s="9"/>
      <c r="L234" s="9" t="s">
        <v>35</v>
      </c>
      <c r="N234" s="0" t="str">
        <f aca="false">IF($G234="Não Conforme",COUNTIF($G$2:$G234,"Não Conforme"),"")</f>
        <v/>
      </c>
    </row>
    <row r="235" customFormat="false" ht="15" hidden="false" customHeight="true" outlineLevel="0" collapsed="false">
      <c r="A235" s="9" t="s">
        <v>481</v>
      </c>
      <c r="B235" s="10" t="s">
        <v>482</v>
      </c>
      <c r="C235" s="11" t="s">
        <v>483</v>
      </c>
      <c r="D235" s="9" t="n">
        <v>9</v>
      </c>
      <c r="E235" s="11" t="s">
        <v>500</v>
      </c>
      <c r="F235" s="11" t="s">
        <v>501</v>
      </c>
      <c r="G235" s="9"/>
      <c r="H235" s="11"/>
      <c r="I235" s="9"/>
      <c r="J235" s="10"/>
      <c r="K235" s="9"/>
      <c r="L235" s="9" t="s">
        <v>35</v>
      </c>
      <c r="N235" s="0" t="str">
        <f aca="false">IF($G235="Não Conforme",COUNTIF($G$2:$G235,"Não Conforme"),"")</f>
        <v/>
      </c>
    </row>
    <row r="236" customFormat="false" ht="15" hidden="false" customHeight="true" outlineLevel="0" collapsed="false">
      <c r="A236" s="9" t="s">
        <v>481</v>
      </c>
      <c r="B236" s="10" t="s">
        <v>482</v>
      </c>
      <c r="C236" s="11" t="s">
        <v>483</v>
      </c>
      <c r="D236" s="9" t="n">
        <v>10</v>
      </c>
      <c r="E236" s="11" t="s">
        <v>502</v>
      </c>
      <c r="F236" s="11" t="s">
        <v>503</v>
      </c>
      <c r="G236" s="9"/>
      <c r="H236" s="11"/>
      <c r="I236" s="9"/>
      <c r="J236" s="10"/>
      <c r="K236" s="9"/>
      <c r="L236" s="9" t="s">
        <v>35</v>
      </c>
      <c r="N236" s="0" t="str">
        <f aca="false">IF($G236="Não Conforme",COUNTIF($G$2:$G236,"Não Conforme"),"")</f>
        <v/>
      </c>
    </row>
    <row r="237" customFormat="false" ht="15" hidden="false" customHeight="true" outlineLevel="0" collapsed="false">
      <c r="A237" s="9" t="s">
        <v>481</v>
      </c>
      <c r="B237" s="10" t="s">
        <v>482</v>
      </c>
      <c r="C237" s="11" t="s">
        <v>483</v>
      </c>
      <c r="D237" s="9" t="n">
        <v>11</v>
      </c>
      <c r="E237" s="11" t="s">
        <v>504</v>
      </c>
      <c r="F237" s="11" t="s">
        <v>505</v>
      </c>
      <c r="G237" s="9"/>
      <c r="H237" s="11"/>
      <c r="I237" s="9"/>
      <c r="J237" s="10"/>
      <c r="K237" s="9"/>
      <c r="L237" s="9" t="s">
        <v>35</v>
      </c>
      <c r="N237" s="0" t="str">
        <f aca="false">IF($G237="Não Conforme",COUNTIF($G$2:$G237,"Não Conforme"),"")</f>
        <v/>
      </c>
    </row>
    <row r="238" customFormat="false" ht="15" hidden="false" customHeight="true" outlineLevel="0" collapsed="false">
      <c r="A238" s="7" t="s">
        <v>506</v>
      </c>
      <c r="B238" s="7" t="s">
        <v>507</v>
      </c>
      <c r="C238" s="7" t="s">
        <v>508</v>
      </c>
      <c r="D238" s="8"/>
      <c r="E238" s="8"/>
      <c r="F238" s="8"/>
      <c r="G238" s="8"/>
      <c r="H238" s="8"/>
      <c r="I238" s="8"/>
      <c r="J238" s="8"/>
      <c r="K238" s="8"/>
      <c r="L238" s="8"/>
      <c r="N238" s="0" t="str">
        <f aca="false">IF($G238="Não Conforme",COUNTIF($G$2:$G238,"Não Conforme"),"")</f>
        <v/>
      </c>
    </row>
    <row r="239" customFormat="false" ht="15" hidden="false" customHeight="true" outlineLevel="0" collapsed="false">
      <c r="A239" s="9" t="s">
        <v>506</v>
      </c>
      <c r="B239" s="10" t="s">
        <v>507</v>
      </c>
      <c r="C239" s="11" t="s">
        <v>508</v>
      </c>
      <c r="D239" s="9" t="n">
        <v>1</v>
      </c>
      <c r="E239" s="11" t="s">
        <v>509</v>
      </c>
      <c r="F239" s="11" t="s">
        <v>510</v>
      </c>
      <c r="G239" s="9"/>
      <c r="H239" s="11"/>
      <c r="I239" s="9"/>
      <c r="J239" s="10"/>
      <c r="K239" s="9"/>
      <c r="L239" s="9" t="s">
        <v>35</v>
      </c>
      <c r="N239" s="0" t="str">
        <f aca="false">IF($G239="Não Conforme",COUNTIF($G$2:$G239,"Não Conforme"),"")</f>
        <v/>
      </c>
    </row>
    <row r="240" customFormat="false" ht="15" hidden="false" customHeight="true" outlineLevel="0" collapsed="false">
      <c r="A240" s="9" t="s">
        <v>506</v>
      </c>
      <c r="B240" s="10" t="s">
        <v>507</v>
      </c>
      <c r="C240" s="11" t="s">
        <v>508</v>
      </c>
      <c r="D240" s="9" t="n">
        <v>2</v>
      </c>
      <c r="E240" s="11" t="s">
        <v>511</v>
      </c>
      <c r="F240" s="11" t="s">
        <v>512</v>
      </c>
      <c r="G240" s="9"/>
      <c r="H240" s="11"/>
      <c r="I240" s="9"/>
      <c r="J240" s="10"/>
      <c r="K240" s="9"/>
      <c r="L240" s="9" t="s">
        <v>35</v>
      </c>
      <c r="N240" s="0" t="str">
        <f aca="false">IF($G240="Não Conforme",COUNTIF($G$2:$G240,"Não Conforme"),"")</f>
        <v/>
      </c>
    </row>
    <row r="241" customFormat="false" ht="15" hidden="false" customHeight="true" outlineLevel="0" collapsed="false">
      <c r="A241" s="9" t="s">
        <v>506</v>
      </c>
      <c r="B241" s="10" t="s">
        <v>507</v>
      </c>
      <c r="C241" s="11" t="s">
        <v>508</v>
      </c>
      <c r="D241" s="9" t="n">
        <v>3</v>
      </c>
      <c r="E241" s="11" t="s">
        <v>513</v>
      </c>
      <c r="F241" s="11" t="s">
        <v>514</v>
      </c>
      <c r="G241" s="9"/>
      <c r="H241" s="11"/>
      <c r="I241" s="9"/>
      <c r="J241" s="10"/>
      <c r="K241" s="9"/>
      <c r="L241" s="9" t="s">
        <v>35</v>
      </c>
      <c r="N241" s="0" t="str">
        <f aca="false">IF($G241="Não Conforme",COUNTIF($G$2:$G241,"Não Conforme"),"")</f>
        <v/>
      </c>
    </row>
    <row r="242" customFormat="false" ht="15" hidden="false" customHeight="true" outlineLevel="0" collapsed="false">
      <c r="A242" s="9" t="s">
        <v>506</v>
      </c>
      <c r="B242" s="10" t="s">
        <v>507</v>
      </c>
      <c r="C242" s="11" t="s">
        <v>508</v>
      </c>
      <c r="D242" s="9" t="n">
        <v>4</v>
      </c>
      <c r="E242" s="11" t="s">
        <v>515</v>
      </c>
      <c r="F242" s="11" t="s">
        <v>516</v>
      </c>
      <c r="G242" s="9"/>
      <c r="H242" s="11"/>
      <c r="I242" s="9"/>
      <c r="J242" s="10"/>
      <c r="K242" s="9"/>
      <c r="L242" s="9" t="s">
        <v>35</v>
      </c>
      <c r="N242" s="0" t="str">
        <f aca="false">IF($G242="Não Conforme",COUNTIF($G$2:$G242,"Não Conforme"),"")</f>
        <v/>
      </c>
    </row>
    <row r="243" customFormat="false" ht="15" hidden="false" customHeight="true" outlineLevel="0" collapsed="false">
      <c r="A243" s="9" t="s">
        <v>506</v>
      </c>
      <c r="B243" s="10" t="s">
        <v>507</v>
      </c>
      <c r="C243" s="11" t="s">
        <v>508</v>
      </c>
      <c r="D243" s="9" t="n">
        <v>5</v>
      </c>
      <c r="E243" s="11" t="s">
        <v>517</v>
      </c>
      <c r="F243" s="11" t="s">
        <v>518</v>
      </c>
      <c r="G243" s="9"/>
      <c r="H243" s="11"/>
      <c r="I243" s="9"/>
      <c r="J243" s="10"/>
      <c r="K243" s="9"/>
      <c r="L243" s="9" t="s">
        <v>35</v>
      </c>
      <c r="N243" s="0" t="str">
        <f aca="false">IF($G243="Não Conforme",COUNTIF($G$2:$G243,"Não Conforme"),"")</f>
        <v/>
      </c>
    </row>
    <row r="244" customFormat="false" ht="15" hidden="false" customHeight="true" outlineLevel="0" collapsed="false">
      <c r="A244" s="9" t="s">
        <v>506</v>
      </c>
      <c r="B244" s="10" t="s">
        <v>507</v>
      </c>
      <c r="C244" s="11" t="s">
        <v>508</v>
      </c>
      <c r="D244" s="9" t="n">
        <v>6</v>
      </c>
      <c r="E244" s="11" t="s">
        <v>519</v>
      </c>
      <c r="F244" s="11" t="s">
        <v>520</v>
      </c>
      <c r="G244" s="9"/>
      <c r="H244" s="11"/>
      <c r="I244" s="9"/>
      <c r="J244" s="10"/>
      <c r="K244" s="9"/>
      <c r="L244" s="9" t="s">
        <v>35</v>
      </c>
      <c r="N244" s="0" t="str">
        <f aca="false">IF($G244="Não Conforme",COUNTIF($G$2:$G244,"Não Conforme"),"")</f>
        <v/>
      </c>
    </row>
    <row r="245" customFormat="false" ht="15" hidden="false" customHeight="true" outlineLevel="0" collapsed="false">
      <c r="A245" s="9" t="s">
        <v>506</v>
      </c>
      <c r="B245" s="10" t="s">
        <v>507</v>
      </c>
      <c r="C245" s="11" t="s">
        <v>508</v>
      </c>
      <c r="D245" s="9" t="n">
        <v>7</v>
      </c>
      <c r="E245" s="11" t="s">
        <v>521</v>
      </c>
      <c r="F245" s="11" t="s">
        <v>522</v>
      </c>
      <c r="G245" s="9"/>
      <c r="H245" s="11"/>
      <c r="I245" s="9"/>
      <c r="J245" s="10"/>
      <c r="K245" s="9"/>
      <c r="L245" s="9" t="s">
        <v>35</v>
      </c>
      <c r="N245" s="0" t="str">
        <f aca="false">IF($G245="Não Conforme",COUNTIF($G$2:$G245,"Não Conforme"),"")</f>
        <v/>
      </c>
    </row>
    <row r="246" customFormat="false" ht="15" hidden="false" customHeight="true" outlineLevel="0" collapsed="false">
      <c r="A246" s="9" t="s">
        <v>506</v>
      </c>
      <c r="B246" s="10" t="s">
        <v>507</v>
      </c>
      <c r="C246" s="11" t="s">
        <v>508</v>
      </c>
      <c r="D246" s="9" t="n">
        <v>8</v>
      </c>
      <c r="E246" s="11" t="s">
        <v>523</v>
      </c>
      <c r="F246" s="11" t="s">
        <v>524</v>
      </c>
      <c r="G246" s="9"/>
      <c r="H246" s="11"/>
      <c r="I246" s="9"/>
      <c r="J246" s="10"/>
      <c r="K246" s="9"/>
      <c r="L246" s="9" t="s">
        <v>35</v>
      </c>
      <c r="N246" s="0" t="str">
        <f aca="false">IF($G246="Não Conforme",COUNTIF($G$2:$G246,"Não Conforme"),"")</f>
        <v/>
      </c>
    </row>
    <row r="247" customFormat="false" ht="15" hidden="false" customHeight="true" outlineLevel="0" collapsed="false">
      <c r="A247" s="9" t="s">
        <v>506</v>
      </c>
      <c r="B247" s="10" t="s">
        <v>507</v>
      </c>
      <c r="C247" s="11" t="s">
        <v>508</v>
      </c>
      <c r="D247" s="9" t="n">
        <v>9</v>
      </c>
      <c r="E247" s="11" t="s">
        <v>525</v>
      </c>
      <c r="F247" s="11" t="s">
        <v>526</v>
      </c>
      <c r="G247" s="9"/>
      <c r="H247" s="11"/>
      <c r="I247" s="9"/>
      <c r="J247" s="10"/>
      <c r="K247" s="9"/>
      <c r="L247" s="9" t="s">
        <v>35</v>
      </c>
      <c r="N247" s="0" t="str">
        <f aca="false">IF($G247="Não Conforme",COUNTIF($G$2:$G247,"Não Conforme"),"")</f>
        <v/>
      </c>
    </row>
    <row r="248" customFormat="false" ht="15" hidden="false" customHeight="true" outlineLevel="0" collapsed="false">
      <c r="A248" s="9" t="s">
        <v>506</v>
      </c>
      <c r="B248" s="10" t="s">
        <v>507</v>
      </c>
      <c r="C248" s="11" t="s">
        <v>508</v>
      </c>
      <c r="D248" s="9" t="n">
        <v>10</v>
      </c>
      <c r="E248" s="11" t="s">
        <v>527</v>
      </c>
      <c r="F248" s="11" t="s">
        <v>528</v>
      </c>
      <c r="G248" s="9"/>
      <c r="H248" s="11"/>
      <c r="I248" s="9"/>
      <c r="J248" s="10"/>
      <c r="K248" s="9"/>
      <c r="L248" s="9" t="s">
        <v>35</v>
      </c>
      <c r="N248" s="0" t="str">
        <f aca="false">IF($G248="Não Conforme",COUNTIF($G$2:$G248,"Não Conforme"),"")</f>
        <v/>
      </c>
    </row>
    <row r="249" customFormat="false" ht="15" hidden="false" customHeight="true" outlineLevel="0" collapsed="false">
      <c r="A249" s="7" t="s">
        <v>529</v>
      </c>
      <c r="B249" s="7" t="s">
        <v>530</v>
      </c>
      <c r="C249" s="7" t="s">
        <v>531</v>
      </c>
      <c r="D249" s="8"/>
      <c r="E249" s="8"/>
      <c r="F249" s="8"/>
      <c r="G249" s="8"/>
      <c r="H249" s="8"/>
      <c r="I249" s="8"/>
      <c r="J249" s="8"/>
      <c r="K249" s="8"/>
      <c r="L249" s="8"/>
      <c r="N249" s="0" t="str">
        <f aca="false">IF($G249="Não Conforme",COUNTIF($G$2:$G249,"Não Conforme"),"")</f>
        <v/>
      </c>
    </row>
    <row r="250" customFormat="false" ht="15" hidden="false" customHeight="true" outlineLevel="0" collapsed="false">
      <c r="A250" s="9" t="s">
        <v>529</v>
      </c>
      <c r="B250" s="10" t="s">
        <v>530</v>
      </c>
      <c r="C250" s="11" t="s">
        <v>531</v>
      </c>
      <c r="D250" s="9" t="n">
        <v>1</v>
      </c>
      <c r="E250" s="11" t="s">
        <v>532</v>
      </c>
      <c r="F250" s="11" t="s">
        <v>533</v>
      </c>
      <c r="G250" s="9"/>
      <c r="H250" s="11"/>
      <c r="I250" s="9"/>
      <c r="J250" s="10"/>
      <c r="K250" s="9"/>
      <c r="L250" s="9" t="s">
        <v>35</v>
      </c>
      <c r="N250" s="0" t="str">
        <f aca="false">IF($G250="Não Conforme",COUNTIF($G$2:$G250,"Não Conforme"),"")</f>
        <v/>
      </c>
    </row>
    <row r="251" customFormat="false" ht="15" hidden="false" customHeight="true" outlineLevel="0" collapsed="false">
      <c r="A251" s="9" t="s">
        <v>529</v>
      </c>
      <c r="B251" s="10" t="s">
        <v>530</v>
      </c>
      <c r="C251" s="11" t="s">
        <v>531</v>
      </c>
      <c r="D251" s="9" t="n">
        <v>2</v>
      </c>
      <c r="E251" s="11" t="s">
        <v>534</v>
      </c>
      <c r="F251" s="11" t="s">
        <v>535</v>
      </c>
      <c r="G251" s="9"/>
      <c r="H251" s="11"/>
      <c r="I251" s="9"/>
      <c r="J251" s="10"/>
      <c r="K251" s="9"/>
      <c r="L251" s="9" t="s">
        <v>35</v>
      </c>
      <c r="N251" s="0" t="str">
        <f aca="false">IF($G251="Não Conforme",COUNTIF($G$2:$G251,"Não Conforme"),"")</f>
        <v/>
      </c>
    </row>
    <row r="252" customFormat="false" ht="15" hidden="false" customHeight="true" outlineLevel="0" collapsed="false">
      <c r="A252" s="9" t="s">
        <v>529</v>
      </c>
      <c r="B252" s="10" t="s">
        <v>530</v>
      </c>
      <c r="C252" s="11" t="s">
        <v>531</v>
      </c>
      <c r="D252" s="9" t="n">
        <v>3</v>
      </c>
      <c r="E252" s="11" t="s">
        <v>536</v>
      </c>
      <c r="F252" s="11" t="s">
        <v>537</v>
      </c>
      <c r="G252" s="9"/>
      <c r="H252" s="11"/>
      <c r="I252" s="9"/>
      <c r="J252" s="10"/>
      <c r="K252" s="9"/>
      <c r="L252" s="9" t="s">
        <v>35</v>
      </c>
      <c r="N252" s="0" t="str">
        <f aca="false">IF($G252="Não Conforme",COUNTIF($G$2:$G252,"Não Conforme"),"")</f>
        <v/>
      </c>
    </row>
    <row r="253" customFormat="false" ht="23.25" hidden="false" customHeight="true" outlineLevel="0" collapsed="false">
      <c r="A253" s="9" t="s">
        <v>529</v>
      </c>
      <c r="B253" s="10" t="s">
        <v>530</v>
      </c>
      <c r="C253" s="11" t="s">
        <v>531</v>
      </c>
      <c r="D253" s="9" t="n">
        <v>4</v>
      </c>
      <c r="E253" s="11" t="s">
        <v>538</v>
      </c>
      <c r="F253" s="11" t="s">
        <v>539</v>
      </c>
      <c r="G253" s="9"/>
      <c r="H253" s="11"/>
      <c r="I253" s="9"/>
      <c r="J253" s="10"/>
      <c r="K253" s="9"/>
      <c r="L253" s="9" t="s">
        <v>35</v>
      </c>
      <c r="N253" s="0" t="str">
        <f aca="false">IF($G253="Não Conforme",COUNTIF($G$2:$G253,"Não Conforme"),"")</f>
        <v/>
      </c>
    </row>
    <row r="254" customFormat="false" ht="15" hidden="false" customHeight="true" outlineLevel="0" collapsed="false">
      <c r="A254" s="9" t="s">
        <v>529</v>
      </c>
      <c r="B254" s="10" t="s">
        <v>530</v>
      </c>
      <c r="C254" s="11" t="s">
        <v>531</v>
      </c>
      <c r="D254" s="9" t="n">
        <v>5</v>
      </c>
      <c r="E254" s="11" t="s">
        <v>540</v>
      </c>
      <c r="F254" s="11" t="s">
        <v>541</v>
      </c>
      <c r="G254" s="9"/>
      <c r="H254" s="11"/>
      <c r="I254" s="9"/>
      <c r="J254" s="10"/>
      <c r="K254" s="9"/>
      <c r="L254" s="9" t="s">
        <v>35</v>
      </c>
      <c r="N254" s="0" t="str">
        <f aca="false">IF($G254="Não Conforme",COUNTIF($G$2:$G254,"Não Conforme"),"")</f>
        <v/>
      </c>
    </row>
    <row r="255" customFormat="false" ht="15" hidden="false" customHeight="true" outlineLevel="0" collapsed="false">
      <c r="A255" s="9" t="s">
        <v>529</v>
      </c>
      <c r="B255" s="10" t="s">
        <v>530</v>
      </c>
      <c r="C255" s="11" t="s">
        <v>531</v>
      </c>
      <c r="D255" s="9" t="n">
        <v>6</v>
      </c>
      <c r="E255" s="11" t="s">
        <v>542</v>
      </c>
      <c r="F255" s="11" t="s">
        <v>543</v>
      </c>
      <c r="G255" s="9"/>
      <c r="H255" s="11"/>
      <c r="I255" s="9"/>
      <c r="J255" s="10"/>
      <c r="K255" s="9"/>
      <c r="L255" s="9" t="s">
        <v>35</v>
      </c>
      <c r="N255" s="0" t="str">
        <f aca="false">IF($G255="Não Conforme",COUNTIF($G$2:$G255,"Não Conforme"),"")</f>
        <v/>
      </c>
    </row>
    <row r="256" customFormat="false" ht="15" hidden="false" customHeight="true" outlineLevel="0" collapsed="false">
      <c r="A256" s="9" t="s">
        <v>529</v>
      </c>
      <c r="B256" s="10" t="s">
        <v>530</v>
      </c>
      <c r="C256" s="11" t="s">
        <v>531</v>
      </c>
      <c r="D256" s="9" t="n">
        <v>7</v>
      </c>
      <c r="E256" s="11" t="s">
        <v>544</v>
      </c>
      <c r="F256" s="11" t="s">
        <v>545</v>
      </c>
      <c r="G256" s="9"/>
      <c r="H256" s="11"/>
      <c r="I256" s="9"/>
      <c r="J256" s="10"/>
      <c r="K256" s="9"/>
      <c r="L256" s="9" t="s">
        <v>35</v>
      </c>
      <c r="N256" s="0" t="str">
        <f aca="false">IF($G256="Não Conforme",COUNTIF($G$2:$G256,"Não Conforme"),"")</f>
        <v/>
      </c>
    </row>
    <row r="257" customFormat="false" ht="15" hidden="false" customHeight="true" outlineLevel="0" collapsed="false">
      <c r="A257" s="9" t="s">
        <v>529</v>
      </c>
      <c r="B257" s="10" t="s">
        <v>530</v>
      </c>
      <c r="C257" s="11" t="s">
        <v>531</v>
      </c>
      <c r="D257" s="9" t="n">
        <v>8</v>
      </c>
      <c r="E257" s="11" t="s">
        <v>546</v>
      </c>
      <c r="F257" s="11" t="s">
        <v>547</v>
      </c>
      <c r="G257" s="9"/>
      <c r="H257" s="11"/>
      <c r="I257" s="9"/>
      <c r="J257" s="10"/>
      <c r="K257" s="9"/>
      <c r="L257" s="9" t="s">
        <v>35</v>
      </c>
      <c r="N257" s="0" t="str">
        <f aca="false">IF($G257="Não Conforme",COUNTIF($G$2:$G257,"Não Conforme"),"")</f>
        <v/>
      </c>
    </row>
    <row r="258" customFormat="false" ht="15" hidden="false" customHeight="true" outlineLevel="0" collapsed="false">
      <c r="A258" s="9" t="s">
        <v>529</v>
      </c>
      <c r="B258" s="10" t="s">
        <v>530</v>
      </c>
      <c r="C258" s="11" t="s">
        <v>531</v>
      </c>
      <c r="D258" s="9" t="n">
        <v>9</v>
      </c>
      <c r="E258" s="11" t="s">
        <v>548</v>
      </c>
      <c r="F258" s="11" t="s">
        <v>549</v>
      </c>
      <c r="G258" s="9"/>
      <c r="H258" s="11"/>
      <c r="I258" s="9"/>
      <c r="J258" s="10"/>
      <c r="K258" s="9"/>
      <c r="L258" s="9" t="s">
        <v>35</v>
      </c>
      <c r="N258" s="0" t="str">
        <f aca="false">IF($G258="Não Conforme",COUNTIF($G$2:$G258,"Não Conforme"),"")</f>
        <v/>
      </c>
    </row>
    <row r="259" customFormat="false" ht="15" hidden="false" customHeight="true" outlineLevel="0" collapsed="false">
      <c r="A259" s="9" t="s">
        <v>529</v>
      </c>
      <c r="B259" s="10" t="s">
        <v>530</v>
      </c>
      <c r="C259" s="11" t="s">
        <v>531</v>
      </c>
      <c r="D259" s="9" t="n">
        <v>10</v>
      </c>
      <c r="E259" s="11" t="s">
        <v>550</v>
      </c>
      <c r="F259" s="11" t="s">
        <v>551</v>
      </c>
      <c r="G259" s="9"/>
      <c r="H259" s="11"/>
      <c r="I259" s="9"/>
      <c r="J259" s="10"/>
      <c r="K259" s="9"/>
      <c r="L259" s="9" t="s">
        <v>35</v>
      </c>
      <c r="N259" s="0" t="str">
        <f aca="false">IF($G259="Não Conforme",COUNTIF($G$2:$G259,"Não Conforme"),"")</f>
        <v/>
      </c>
    </row>
    <row r="260" customFormat="false" ht="15" hidden="false" customHeight="true" outlineLevel="0" collapsed="false">
      <c r="A260" s="7" t="s">
        <v>552</v>
      </c>
      <c r="B260" s="7" t="s">
        <v>553</v>
      </c>
      <c r="C260" s="7" t="s">
        <v>554</v>
      </c>
      <c r="D260" s="8"/>
      <c r="E260" s="8"/>
      <c r="F260" s="8"/>
      <c r="G260" s="8"/>
      <c r="H260" s="8"/>
      <c r="I260" s="8"/>
      <c r="J260" s="8"/>
      <c r="K260" s="8"/>
      <c r="L260" s="8"/>
      <c r="N260" s="0" t="str">
        <f aca="false">IF($G260="Não Conforme",COUNTIF($G$2:$G260,"Não Conforme"),"")</f>
        <v/>
      </c>
    </row>
    <row r="261" customFormat="false" ht="15" hidden="false" customHeight="true" outlineLevel="0" collapsed="false">
      <c r="A261" s="9" t="s">
        <v>552</v>
      </c>
      <c r="B261" s="10" t="s">
        <v>553</v>
      </c>
      <c r="C261" s="11" t="s">
        <v>554</v>
      </c>
      <c r="D261" s="9" t="n">
        <v>1</v>
      </c>
      <c r="E261" s="11" t="s">
        <v>555</v>
      </c>
      <c r="F261" s="11" t="s">
        <v>556</v>
      </c>
      <c r="G261" s="9"/>
      <c r="H261" s="11"/>
      <c r="I261" s="9"/>
      <c r="J261" s="10"/>
      <c r="K261" s="9"/>
      <c r="L261" s="9" t="s">
        <v>35</v>
      </c>
      <c r="N261" s="0" t="str">
        <f aca="false">IF($G261="Não Conforme",COUNTIF($G$2:$G261,"Não Conforme"),"")</f>
        <v/>
      </c>
    </row>
    <row r="262" customFormat="false" ht="15" hidden="false" customHeight="true" outlineLevel="0" collapsed="false">
      <c r="A262" s="9" t="s">
        <v>552</v>
      </c>
      <c r="B262" s="10" t="s">
        <v>553</v>
      </c>
      <c r="C262" s="11" t="s">
        <v>554</v>
      </c>
      <c r="D262" s="9" t="n">
        <v>2</v>
      </c>
      <c r="E262" s="11" t="s">
        <v>557</v>
      </c>
      <c r="F262" s="11" t="s">
        <v>558</v>
      </c>
      <c r="G262" s="9"/>
      <c r="H262" s="11"/>
      <c r="I262" s="9"/>
      <c r="J262" s="10"/>
      <c r="K262" s="9"/>
      <c r="L262" s="9" t="s">
        <v>35</v>
      </c>
      <c r="N262" s="0" t="str">
        <f aca="false">IF($G262="Não Conforme",COUNTIF($G$2:$G262,"Não Conforme"),"")</f>
        <v/>
      </c>
    </row>
    <row r="263" customFormat="false" ht="15" hidden="false" customHeight="true" outlineLevel="0" collapsed="false">
      <c r="A263" s="9" t="s">
        <v>552</v>
      </c>
      <c r="B263" s="10" t="s">
        <v>553</v>
      </c>
      <c r="C263" s="11" t="s">
        <v>554</v>
      </c>
      <c r="D263" s="9" t="n">
        <v>3</v>
      </c>
      <c r="E263" s="11" t="s">
        <v>559</v>
      </c>
      <c r="F263" s="11" t="s">
        <v>560</v>
      </c>
      <c r="G263" s="9"/>
      <c r="H263" s="11"/>
      <c r="I263" s="9"/>
      <c r="J263" s="10"/>
      <c r="K263" s="9"/>
      <c r="L263" s="9" t="s">
        <v>35</v>
      </c>
      <c r="N263" s="0" t="str">
        <f aca="false">IF($G263="Não Conforme",COUNTIF($G$2:$G263,"Não Conforme"),"")</f>
        <v/>
      </c>
    </row>
    <row r="264" customFormat="false" ht="23.25" hidden="false" customHeight="true" outlineLevel="0" collapsed="false">
      <c r="A264" s="9" t="s">
        <v>552</v>
      </c>
      <c r="B264" s="10" t="s">
        <v>553</v>
      </c>
      <c r="C264" s="11" t="s">
        <v>554</v>
      </c>
      <c r="D264" s="9" t="n">
        <v>4</v>
      </c>
      <c r="E264" s="11" t="s">
        <v>561</v>
      </c>
      <c r="F264" s="11" t="s">
        <v>562</v>
      </c>
      <c r="G264" s="9"/>
      <c r="H264" s="11"/>
      <c r="I264" s="9"/>
      <c r="J264" s="10"/>
      <c r="K264" s="9"/>
      <c r="L264" s="9" t="s">
        <v>35</v>
      </c>
      <c r="N264" s="0" t="str">
        <f aca="false">IF($G264="Não Conforme",COUNTIF($G$2:$G264,"Não Conforme"),"")</f>
        <v/>
      </c>
    </row>
    <row r="265" customFormat="false" ht="15" hidden="false" customHeight="true" outlineLevel="0" collapsed="false">
      <c r="A265" s="9" t="s">
        <v>552</v>
      </c>
      <c r="B265" s="10" t="s">
        <v>553</v>
      </c>
      <c r="C265" s="11" t="s">
        <v>554</v>
      </c>
      <c r="D265" s="9" t="n">
        <v>5</v>
      </c>
      <c r="E265" s="11" t="s">
        <v>563</v>
      </c>
      <c r="F265" s="11" t="s">
        <v>564</v>
      </c>
      <c r="G265" s="9"/>
      <c r="H265" s="11"/>
      <c r="I265" s="9"/>
      <c r="J265" s="10"/>
      <c r="K265" s="9"/>
      <c r="L265" s="9" t="s">
        <v>35</v>
      </c>
      <c r="N265" s="0" t="str">
        <f aca="false">IF($G265="Não Conforme",COUNTIF($G$2:$G265,"Não Conforme"),"")</f>
        <v/>
      </c>
    </row>
    <row r="266" customFormat="false" ht="15" hidden="false" customHeight="true" outlineLevel="0" collapsed="false">
      <c r="A266" s="9" t="s">
        <v>552</v>
      </c>
      <c r="B266" s="10" t="s">
        <v>553</v>
      </c>
      <c r="C266" s="11" t="s">
        <v>554</v>
      </c>
      <c r="D266" s="9" t="n">
        <v>6</v>
      </c>
      <c r="E266" s="11" t="s">
        <v>565</v>
      </c>
      <c r="F266" s="11" t="s">
        <v>566</v>
      </c>
      <c r="G266" s="9"/>
      <c r="H266" s="11"/>
      <c r="I266" s="9"/>
      <c r="J266" s="10"/>
      <c r="K266" s="9"/>
      <c r="L266" s="9" t="s">
        <v>35</v>
      </c>
      <c r="N266" s="0" t="str">
        <f aca="false">IF($G266="Não Conforme",COUNTIF($G$2:$G266,"Não Conforme"),"")</f>
        <v/>
      </c>
    </row>
    <row r="267" customFormat="false" ht="15" hidden="false" customHeight="true" outlineLevel="0" collapsed="false">
      <c r="A267" s="9" t="s">
        <v>552</v>
      </c>
      <c r="B267" s="10" t="s">
        <v>553</v>
      </c>
      <c r="C267" s="11" t="s">
        <v>554</v>
      </c>
      <c r="D267" s="9" t="n">
        <v>7</v>
      </c>
      <c r="E267" s="11" t="s">
        <v>567</v>
      </c>
      <c r="F267" s="11" t="s">
        <v>568</v>
      </c>
      <c r="G267" s="9"/>
      <c r="H267" s="11"/>
      <c r="I267" s="9"/>
      <c r="J267" s="10"/>
      <c r="K267" s="9"/>
      <c r="L267" s="9" t="s">
        <v>35</v>
      </c>
      <c r="N267" s="0" t="str">
        <f aca="false">IF($G267="Não Conforme",COUNTIF($G$2:$G267,"Não Conforme"),"")</f>
        <v/>
      </c>
    </row>
    <row r="268" customFormat="false" ht="15" hidden="false" customHeight="true" outlineLevel="0" collapsed="false">
      <c r="A268" s="9" t="s">
        <v>552</v>
      </c>
      <c r="B268" s="10" t="s">
        <v>553</v>
      </c>
      <c r="C268" s="11" t="s">
        <v>554</v>
      </c>
      <c r="D268" s="9" t="n">
        <v>8</v>
      </c>
      <c r="E268" s="11" t="s">
        <v>569</v>
      </c>
      <c r="F268" s="11" t="s">
        <v>570</v>
      </c>
      <c r="G268" s="9"/>
      <c r="H268" s="11"/>
      <c r="I268" s="9"/>
      <c r="J268" s="10"/>
      <c r="K268" s="9"/>
      <c r="L268" s="9" t="s">
        <v>35</v>
      </c>
      <c r="N268" s="0" t="str">
        <f aca="false">IF($G268="Não Conforme",COUNTIF($G$2:$G268,"Não Conforme"),"")</f>
        <v/>
      </c>
    </row>
    <row r="269" customFormat="false" ht="23.25" hidden="false" customHeight="true" outlineLevel="0" collapsed="false">
      <c r="A269" s="9" t="s">
        <v>552</v>
      </c>
      <c r="B269" s="10" t="s">
        <v>553</v>
      </c>
      <c r="C269" s="11" t="s">
        <v>554</v>
      </c>
      <c r="D269" s="9" t="n">
        <v>9</v>
      </c>
      <c r="E269" s="11" t="s">
        <v>571</v>
      </c>
      <c r="F269" s="11" t="s">
        <v>572</v>
      </c>
      <c r="G269" s="9"/>
      <c r="H269" s="11"/>
      <c r="I269" s="9"/>
      <c r="J269" s="10"/>
      <c r="K269" s="9"/>
      <c r="L269" s="9" t="s">
        <v>35</v>
      </c>
      <c r="N269" s="0" t="str">
        <f aca="false">IF($G269="Não Conforme",COUNTIF($G$2:$G269,"Não Conforme"),"")</f>
        <v/>
      </c>
    </row>
    <row r="270" customFormat="false" ht="15" hidden="false" customHeight="true" outlineLevel="0" collapsed="false">
      <c r="A270" s="9" t="s">
        <v>552</v>
      </c>
      <c r="B270" s="10" t="s">
        <v>553</v>
      </c>
      <c r="C270" s="11" t="s">
        <v>554</v>
      </c>
      <c r="D270" s="9" t="n">
        <v>10</v>
      </c>
      <c r="E270" s="11" t="s">
        <v>573</v>
      </c>
      <c r="F270" s="11" t="s">
        <v>574</v>
      </c>
      <c r="G270" s="9"/>
      <c r="H270" s="11"/>
      <c r="I270" s="9"/>
      <c r="J270" s="10"/>
      <c r="K270" s="9"/>
      <c r="L270" s="9" t="s">
        <v>35</v>
      </c>
      <c r="N270" s="0" t="str">
        <f aca="false">IF($G270="Não Conforme",COUNTIF($G$2:$G270,"Não Conforme"),"")</f>
        <v/>
      </c>
    </row>
    <row r="271" customFormat="false" ht="15" hidden="false" customHeight="true" outlineLevel="0" collapsed="false">
      <c r="A271" s="9" t="s">
        <v>552</v>
      </c>
      <c r="B271" s="10" t="s">
        <v>553</v>
      </c>
      <c r="C271" s="11" t="s">
        <v>554</v>
      </c>
      <c r="D271" s="9" t="n">
        <v>11</v>
      </c>
      <c r="E271" s="11" t="s">
        <v>575</v>
      </c>
      <c r="F271" s="11" t="s">
        <v>576</v>
      </c>
      <c r="G271" s="9"/>
      <c r="H271" s="11"/>
      <c r="I271" s="9"/>
      <c r="J271" s="10"/>
      <c r="K271" s="9"/>
      <c r="L271" s="9" t="s">
        <v>35</v>
      </c>
      <c r="N271" s="0" t="str">
        <f aca="false">IF($G271="Não Conforme",COUNTIF($G$2:$G271,"Não Conforme"),"")</f>
        <v/>
      </c>
    </row>
    <row r="272" customFormat="false" ht="15" hidden="false" customHeight="true" outlineLevel="0" collapsed="false">
      <c r="A272" s="7" t="s">
        <v>577</v>
      </c>
      <c r="B272" s="7" t="s">
        <v>578</v>
      </c>
      <c r="C272" s="7" t="s">
        <v>579</v>
      </c>
      <c r="D272" s="8"/>
      <c r="E272" s="8"/>
      <c r="F272" s="8"/>
      <c r="G272" s="8"/>
      <c r="H272" s="8"/>
      <c r="I272" s="8"/>
      <c r="J272" s="8"/>
      <c r="K272" s="8"/>
      <c r="L272" s="8"/>
      <c r="N272" s="0" t="str">
        <f aca="false">IF($G272="Não Conforme",COUNTIF($G$2:$G272,"Não Conforme"),"")</f>
        <v/>
      </c>
    </row>
    <row r="273" customFormat="false" ht="15" hidden="false" customHeight="true" outlineLevel="0" collapsed="false">
      <c r="A273" s="9" t="s">
        <v>577</v>
      </c>
      <c r="B273" s="10" t="s">
        <v>578</v>
      </c>
      <c r="C273" s="11" t="s">
        <v>579</v>
      </c>
      <c r="D273" s="9" t="n">
        <v>1</v>
      </c>
      <c r="E273" s="11" t="s">
        <v>580</v>
      </c>
      <c r="F273" s="11" t="s">
        <v>581</v>
      </c>
      <c r="G273" s="9"/>
      <c r="H273" s="11"/>
      <c r="I273" s="9"/>
      <c r="J273" s="10"/>
      <c r="K273" s="9"/>
      <c r="L273" s="9" t="s">
        <v>35</v>
      </c>
      <c r="N273" s="0" t="str">
        <f aca="false">IF($G273="Não Conforme",COUNTIF($G$2:$G273,"Não Conforme"),"")</f>
        <v/>
      </c>
    </row>
    <row r="274" customFormat="false" ht="15" hidden="false" customHeight="true" outlineLevel="0" collapsed="false">
      <c r="A274" s="9" t="s">
        <v>577</v>
      </c>
      <c r="B274" s="10" t="s">
        <v>578</v>
      </c>
      <c r="C274" s="11" t="s">
        <v>579</v>
      </c>
      <c r="D274" s="9" t="n">
        <v>2</v>
      </c>
      <c r="E274" s="11" t="s">
        <v>582</v>
      </c>
      <c r="F274" s="11" t="s">
        <v>583</v>
      </c>
      <c r="G274" s="9"/>
      <c r="H274" s="11"/>
      <c r="I274" s="9"/>
      <c r="J274" s="10"/>
      <c r="K274" s="9"/>
      <c r="L274" s="9" t="s">
        <v>35</v>
      </c>
      <c r="N274" s="0" t="str">
        <f aca="false">IF($G274="Não Conforme",COUNTIF($G$2:$G274,"Não Conforme"),"")</f>
        <v/>
      </c>
    </row>
    <row r="275" customFormat="false" ht="15" hidden="false" customHeight="true" outlineLevel="0" collapsed="false">
      <c r="A275" s="9" t="s">
        <v>577</v>
      </c>
      <c r="B275" s="10" t="s">
        <v>578</v>
      </c>
      <c r="C275" s="11" t="s">
        <v>579</v>
      </c>
      <c r="D275" s="9" t="n">
        <v>3</v>
      </c>
      <c r="E275" s="11" t="s">
        <v>584</v>
      </c>
      <c r="F275" s="11" t="s">
        <v>585</v>
      </c>
      <c r="G275" s="9"/>
      <c r="H275" s="11"/>
      <c r="I275" s="9"/>
      <c r="J275" s="10"/>
      <c r="K275" s="9"/>
      <c r="L275" s="9" t="s">
        <v>35</v>
      </c>
      <c r="N275" s="0" t="str">
        <f aca="false">IF($G275="Não Conforme",COUNTIF($G$2:$G275,"Não Conforme"),"")</f>
        <v/>
      </c>
    </row>
    <row r="276" customFormat="false" ht="15" hidden="false" customHeight="true" outlineLevel="0" collapsed="false">
      <c r="A276" s="9" t="s">
        <v>577</v>
      </c>
      <c r="B276" s="10" t="s">
        <v>578</v>
      </c>
      <c r="C276" s="11" t="s">
        <v>579</v>
      </c>
      <c r="D276" s="9" t="n">
        <v>4</v>
      </c>
      <c r="E276" s="11" t="s">
        <v>586</v>
      </c>
      <c r="F276" s="11" t="s">
        <v>587</v>
      </c>
      <c r="G276" s="9"/>
      <c r="H276" s="11"/>
      <c r="I276" s="9"/>
      <c r="J276" s="10"/>
      <c r="K276" s="9"/>
      <c r="L276" s="9" t="s">
        <v>35</v>
      </c>
      <c r="N276" s="0" t="str">
        <f aca="false">IF($G276="Não Conforme",COUNTIF($G$2:$G276,"Não Conforme"),"")</f>
        <v/>
      </c>
    </row>
    <row r="277" customFormat="false" ht="15" hidden="false" customHeight="true" outlineLevel="0" collapsed="false">
      <c r="A277" s="9" t="s">
        <v>577</v>
      </c>
      <c r="B277" s="10" t="s">
        <v>578</v>
      </c>
      <c r="C277" s="11" t="s">
        <v>579</v>
      </c>
      <c r="D277" s="9" t="n">
        <v>5</v>
      </c>
      <c r="E277" s="11" t="s">
        <v>588</v>
      </c>
      <c r="F277" s="11" t="s">
        <v>589</v>
      </c>
      <c r="G277" s="9"/>
      <c r="H277" s="11"/>
      <c r="I277" s="9"/>
      <c r="J277" s="10"/>
      <c r="K277" s="9"/>
      <c r="L277" s="9" t="s">
        <v>35</v>
      </c>
      <c r="N277" s="0" t="str">
        <f aca="false">IF($G277="Não Conforme",COUNTIF($G$2:$G277,"Não Conforme"),"")</f>
        <v/>
      </c>
    </row>
    <row r="278" customFormat="false" ht="15" hidden="false" customHeight="true" outlineLevel="0" collapsed="false">
      <c r="A278" s="9" t="s">
        <v>577</v>
      </c>
      <c r="B278" s="10" t="s">
        <v>578</v>
      </c>
      <c r="C278" s="11" t="s">
        <v>579</v>
      </c>
      <c r="D278" s="9" t="n">
        <v>6</v>
      </c>
      <c r="E278" s="11" t="s">
        <v>590</v>
      </c>
      <c r="F278" s="11" t="s">
        <v>591</v>
      </c>
      <c r="G278" s="9"/>
      <c r="H278" s="11"/>
      <c r="I278" s="9"/>
      <c r="J278" s="10"/>
      <c r="K278" s="9"/>
      <c r="L278" s="9" t="s">
        <v>35</v>
      </c>
      <c r="N278" s="0" t="str">
        <f aca="false">IF($G278="Não Conforme",COUNTIF($G$2:$G278,"Não Conforme"),"")</f>
        <v/>
      </c>
    </row>
    <row r="279" customFormat="false" ht="15" hidden="false" customHeight="true" outlineLevel="0" collapsed="false">
      <c r="A279" s="9" t="s">
        <v>577</v>
      </c>
      <c r="B279" s="10" t="s">
        <v>578</v>
      </c>
      <c r="C279" s="11" t="s">
        <v>579</v>
      </c>
      <c r="D279" s="9" t="n">
        <v>7</v>
      </c>
      <c r="E279" s="11" t="s">
        <v>592</v>
      </c>
      <c r="F279" s="11" t="s">
        <v>593</v>
      </c>
      <c r="G279" s="9"/>
      <c r="H279" s="11"/>
      <c r="I279" s="9"/>
      <c r="J279" s="10"/>
      <c r="K279" s="9"/>
      <c r="L279" s="9" t="s">
        <v>35</v>
      </c>
      <c r="N279" s="0" t="str">
        <f aca="false">IF($G279="Não Conforme",COUNTIF($G$2:$G279,"Não Conforme"),"")</f>
        <v/>
      </c>
    </row>
    <row r="280" customFormat="false" ht="15" hidden="false" customHeight="true" outlineLevel="0" collapsed="false">
      <c r="A280" s="9" t="s">
        <v>577</v>
      </c>
      <c r="B280" s="10" t="s">
        <v>578</v>
      </c>
      <c r="C280" s="11" t="s">
        <v>579</v>
      </c>
      <c r="D280" s="9" t="n">
        <v>8</v>
      </c>
      <c r="E280" s="11" t="s">
        <v>594</v>
      </c>
      <c r="F280" s="11" t="s">
        <v>595</v>
      </c>
      <c r="G280" s="9"/>
      <c r="H280" s="11"/>
      <c r="I280" s="9"/>
      <c r="J280" s="10"/>
      <c r="K280" s="9"/>
      <c r="L280" s="9" t="s">
        <v>35</v>
      </c>
      <c r="N280" s="0" t="str">
        <f aca="false">IF($G280="Não Conforme",COUNTIF($G$2:$G280,"Não Conforme"),"")</f>
        <v/>
      </c>
    </row>
    <row r="281" customFormat="false" ht="15" hidden="false" customHeight="true" outlineLevel="0" collapsed="false">
      <c r="A281" s="9" t="s">
        <v>577</v>
      </c>
      <c r="B281" s="10" t="s">
        <v>578</v>
      </c>
      <c r="C281" s="11" t="s">
        <v>579</v>
      </c>
      <c r="D281" s="9" t="n">
        <v>9</v>
      </c>
      <c r="E281" s="11" t="s">
        <v>596</v>
      </c>
      <c r="F281" s="11" t="s">
        <v>597</v>
      </c>
      <c r="G281" s="9"/>
      <c r="H281" s="11"/>
      <c r="I281" s="9"/>
      <c r="J281" s="10"/>
      <c r="K281" s="9"/>
      <c r="L281" s="9" t="s">
        <v>35</v>
      </c>
      <c r="N281" s="0" t="str">
        <f aca="false">IF($G281="Não Conforme",COUNTIF($G$2:$G281,"Não Conforme"),"")</f>
        <v/>
      </c>
    </row>
    <row r="282" customFormat="false" ht="15" hidden="false" customHeight="true" outlineLevel="0" collapsed="false">
      <c r="A282" s="7" t="s">
        <v>598</v>
      </c>
      <c r="B282" s="7" t="s">
        <v>599</v>
      </c>
      <c r="C282" s="7" t="s">
        <v>600</v>
      </c>
      <c r="D282" s="8"/>
      <c r="E282" s="8"/>
      <c r="F282" s="8"/>
      <c r="G282" s="8"/>
      <c r="H282" s="8"/>
      <c r="I282" s="8"/>
      <c r="J282" s="8"/>
      <c r="K282" s="8"/>
      <c r="L282" s="8"/>
      <c r="N282" s="0" t="str">
        <f aca="false">IF($G282="Não Conforme",COUNTIF($G$2:$G282,"Não Conforme"),"")</f>
        <v/>
      </c>
    </row>
    <row r="283" customFormat="false" ht="15" hidden="false" customHeight="true" outlineLevel="0" collapsed="false">
      <c r="A283" s="9" t="s">
        <v>598</v>
      </c>
      <c r="B283" s="10" t="s">
        <v>599</v>
      </c>
      <c r="C283" s="11" t="s">
        <v>600</v>
      </c>
      <c r="D283" s="9" t="n">
        <v>1</v>
      </c>
      <c r="E283" s="11" t="s">
        <v>601</v>
      </c>
      <c r="F283" s="11" t="s">
        <v>602</v>
      </c>
      <c r="G283" s="9"/>
      <c r="H283" s="11"/>
      <c r="I283" s="9"/>
      <c r="J283" s="10"/>
      <c r="K283" s="9"/>
      <c r="L283" s="9" t="s">
        <v>35</v>
      </c>
      <c r="N283" s="0" t="str">
        <f aca="false">IF($G283="Não Conforme",COUNTIF($G$2:$G283,"Não Conforme"),"")</f>
        <v/>
      </c>
    </row>
    <row r="284" customFormat="false" ht="15" hidden="false" customHeight="true" outlineLevel="0" collapsed="false">
      <c r="A284" s="9" t="s">
        <v>598</v>
      </c>
      <c r="B284" s="10" t="s">
        <v>599</v>
      </c>
      <c r="C284" s="11" t="s">
        <v>600</v>
      </c>
      <c r="D284" s="9" t="n">
        <v>2</v>
      </c>
      <c r="E284" s="11" t="s">
        <v>603</v>
      </c>
      <c r="F284" s="11" t="s">
        <v>604</v>
      </c>
      <c r="G284" s="9"/>
      <c r="H284" s="11"/>
      <c r="I284" s="9"/>
      <c r="J284" s="10"/>
      <c r="K284" s="9"/>
      <c r="L284" s="9" t="s">
        <v>35</v>
      </c>
      <c r="N284" s="0" t="str">
        <f aca="false">IF($G284="Não Conforme",COUNTIF($G$2:$G284,"Não Conforme"),"")</f>
        <v/>
      </c>
    </row>
    <row r="285" customFormat="false" ht="15" hidden="false" customHeight="true" outlineLevel="0" collapsed="false">
      <c r="A285" s="9" t="s">
        <v>598</v>
      </c>
      <c r="B285" s="10" t="s">
        <v>599</v>
      </c>
      <c r="C285" s="11" t="s">
        <v>600</v>
      </c>
      <c r="D285" s="9" t="n">
        <v>3</v>
      </c>
      <c r="E285" s="11" t="s">
        <v>605</v>
      </c>
      <c r="F285" s="11" t="s">
        <v>606</v>
      </c>
      <c r="G285" s="9"/>
      <c r="H285" s="11"/>
      <c r="I285" s="9"/>
      <c r="J285" s="10"/>
      <c r="K285" s="9"/>
      <c r="L285" s="9" t="s">
        <v>35</v>
      </c>
      <c r="N285" s="0" t="str">
        <f aca="false">IF($G285="Não Conforme",COUNTIF($G$2:$G285,"Não Conforme"),"")</f>
        <v/>
      </c>
    </row>
    <row r="286" customFormat="false" ht="15" hidden="false" customHeight="true" outlineLevel="0" collapsed="false">
      <c r="A286" s="9" t="s">
        <v>598</v>
      </c>
      <c r="B286" s="10" t="s">
        <v>599</v>
      </c>
      <c r="C286" s="11" t="s">
        <v>600</v>
      </c>
      <c r="D286" s="9" t="n">
        <v>4</v>
      </c>
      <c r="E286" s="11" t="s">
        <v>607</v>
      </c>
      <c r="F286" s="11" t="s">
        <v>608</v>
      </c>
      <c r="G286" s="9"/>
      <c r="H286" s="11"/>
      <c r="I286" s="9"/>
      <c r="J286" s="10"/>
      <c r="K286" s="9"/>
      <c r="L286" s="9" t="s">
        <v>35</v>
      </c>
      <c r="N286" s="0" t="str">
        <f aca="false">IF($G286="Não Conforme",COUNTIF($G$2:$G286,"Não Conforme"),"")</f>
        <v/>
      </c>
    </row>
    <row r="287" customFormat="false" ht="15" hidden="false" customHeight="true" outlineLevel="0" collapsed="false">
      <c r="A287" s="9" t="s">
        <v>598</v>
      </c>
      <c r="B287" s="10" t="s">
        <v>599</v>
      </c>
      <c r="C287" s="11" t="s">
        <v>600</v>
      </c>
      <c r="D287" s="9" t="n">
        <v>5</v>
      </c>
      <c r="E287" s="11" t="s">
        <v>609</v>
      </c>
      <c r="F287" s="11" t="s">
        <v>610</v>
      </c>
      <c r="G287" s="9"/>
      <c r="H287" s="11"/>
      <c r="I287" s="9"/>
      <c r="J287" s="10"/>
      <c r="K287" s="9"/>
      <c r="L287" s="9" t="s">
        <v>35</v>
      </c>
      <c r="N287" s="0" t="str">
        <f aca="false">IF($G287="Não Conforme",COUNTIF($G$2:$G287,"Não Conforme"),"")</f>
        <v/>
      </c>
    </row>
    <row r="288" customFormat="false" ht="15" hidden="false" customHeight="true" outlineLevel="0" collapsed="false">
      <c r="A288" s="9" t="s">
        <v>598</v>
      </c>
      <c r="B288" s="10" t="s">
        <v>599</v>
      </c>
      <c r="C288" s="11" t="s">
        <v>600</v>
      </c>
      <c r="D288" s="9" t="n">
        <v>6</v>
      </c>
      <c r="E288" s="11" t="s">
        <v>611</v>
      </c>
      <c r="F288" s="11" t="s">
        <v>612</v>
      </c>
      <c r="G288" s="9"/>
      <c r="H288" s="11"/>
      <c r="I288" s="9"/>
      <c r="J288" s="10"/>
      <c r="K288" s="9"/>
      <c r="L288" s="9" t="s">
        <v>35</v>
      </c>
      <c r="N288" s="0" t="str">
        <f aca="false">IF($G288="Não Conforme",COUNTIF($G$2:$G288,"Não Conforme"),"")</f>
        <v/>
      </c>
    </row>
    <row r="289" customFormat="false" ht="15" hidden="false" customHeight="true" outlineLevel="0" collapsed="false">
      <c r="A289" s="9" t="s">
        <v>598</v>
      </c>
      <c r="B289" s="10" t="s">
        <v>599</v>
      </c>
      <c r="C289" s="11" t="s">
        <v>600</v>
      </c>
      <c r="D289" s="9" t="n">
        <v>7</v>
      </c>
      <c r="E289" s="11" t="s">
        <v>613</v>
      </c>
      <c r="F289" s="11" t="s">
        <v>614</v>
      </c>
      <c r="G289" s="9"/>
      <c r="H289" s="11"/>
      <c r="I289" s="9"/>
      <c r="J289" s="10"/>
      <c r="K289" s="9"/>
      <c r="L289" s="9" t="s">
        <v>35</v>
      </c>
      <c r="N289" s="0" t="str">
        <f aca="false">IF($G289="Não Conforme",COUNTIF($G$2:$G289,"Não Conforme"),"")</f>
        <v/>
      </c>
    </row>
    <row r="290" customFormat="false" ht="15" hidden="false" customHeight="true" outlineLevel="0" collapsed="false">
      <c r="A290" s="9" t="s">
        <v>598</v>
      </c>
      <c r="B290" s="10" t="s">
        <v>599</v>
      </c>
      <c r="C290" s="11" t="s">
        <v>600</v>
      </c>
      <c r="D290" s="9" t="n">
        <v>8</v>
      </c>
      <c r="E290" s="11" t="s">
        <v>615</v>
      </c>
      <c r="F290" s="11" t="s">
        <v>616</v>
      </c>
      <c r="G290" s="9"/>
      <c r="H290" s="11"/>
      <c r="I290" s="9"/>
      <c r="J290" s="10"/>
      <c r="K290" s="9"/>
      <c r="L290" s="9" t="s">
        <v>35</v>
      </c>
      <c r="N290" s="0" t="str">
        <f aca="false">IF($G290="Não Conforme",COUNTIF($G$2:$G290,"Não Conforme"),"")</f>
        <v/>
      </c>
    </row>
    <row r="291" customFormat="false" ht="15" hidden="false" customHeight="true" outlineLevel="0" collapsed="false">
      <c r="A291" s="9" t="s">
        <v>598</v>
      </c>
      <c r="B291" s="10" t="s">
        <v>599</v>
      </c>
      <c r="C291" s="11" t="s">
        <v>600</v>
      </c>
      <c r="D291" s="9" t="n">
        <v>9</v>
      </c>
      <c r="E291" s="11" t="s">
        <v>617</v>
      </c>
      <c r="F291" s="11" t="s">
        <v>618</v>
      </c>
      <c r="G291" s="9"/>
      <c r="H291" s="11"/>
      <c r="I291" s="9"/>
      <c r="J291" s="10"/>
      <c r="K291" s="9"/>
      <c r="L291" s="9" t="s">
        <v>35</v>
      </c>
      <c r="N291" s="0" t="str">
        <f aca="false">IF($G291="Não Conforme",COUNTIF($G$2:$G291,"Não Conforme"),"")</f>
        <v/>
      </c>
    </row>
  </sheetData>
  <autoFilter ref="A1:L291"/>
  <dataValidations count="2">
    <dataValidation allowBlank="true" errorStyle="stop" operator="between" showDropDown="false" showErrorMessage="false" showInputMessage="false" sqref="G2:G291" type="list">
      <formula1>"Conforme,Não Conforme,Não Aplicável"</formula1>
      <formula2>0</formula2>
    </dataValidation>
    <dataValidation allowBlank="true" errorStyle="stop" operator="between" showDropDown="false" showErrorMessage="false" showInputMessage="false" sqref="L2:L291" type="list">
      <formula1>"Aberto,Em Andamento,Fechado"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26"/>
    <col collapsed="false" customWidth="true" hidden="false" outlineLevel="0" max="9" min="4" style="1" width="6"/>
    <col collapsed="false" customWidth="true" hidden="false" outlineLevel="0" max="10" min="10" style="1" width="18"/>
    <col collapsed="false" customWidth="true" hidden="false" outlineLevel="0" max="11" min="11" style="1" width="28"/>
  </cols>
  <sheetData>
    <row r="1" customFormat="false" ht="15" hidden="false" customHeight="true" outlineLevel="0" collapsed="false">
      <c r="A1" s="12" t="s">
        <v>17</v>
      </c>
      <c r="B1" s="12" t="s">
        <v>619</v>
      </c>
      <c r="C1" s="12" t="s">
        <v>620</v>
      </c>
      <c r="D1" s="12" t="s">
        <v>621</v>
      </c>
      <c r="E1" s="12" t="s">
        <v>622</v>
      </c>
      <c r="F1" s="12" t="s">
        <v>623</v>
      </c>
      <c r="G1" s="12" t="s">
        <v>624</v>
      </c>
      <c r="H1" s="12" t="s">
        <v>625</v>
      </c>
      <c r="I1" s="12" t="s">
        <v>626</v>
      </c>
      <c r="J1" s="12" t="s">
        <v>627</v>
      </c>
      <c r="K1" s="12" t="s">
        <v>628</v>
      </c>
    </row>
    <row r="2" customFormat="false" ht="15" hidden="false" customHeight="true" outlineLevel="0" collapsed="false">
      <c r="A2" s="13" t="s">
        <v>30</v>
      </c>
      <c r="B2" s="14" t="s">
        <v>629</v>
      </c>
      <c r="C2" s="13" t="s">
        <v>630</v>
      </c>
      <c r="D2" s="15" t="s">
        <v>631</v>
      </c>
      <c r="E2" s="15" t="s">
        <v>631</v>
      </c>
      <c r="F2" s="15" t="s">
        <v>631</v>
      </c>
      <c r="G2" s="15" t="s">
        <v>631</v>
      </c>
      <c r="H2" s="15" t="s">
        <v>631</v>
      </c>
      <c r="I2" s="15" t="s">
        <v>631</v>
      </c>
      <c r="J2" s="13" t="s">
        <v>632</v>
      </c>
      <c r="K2" s="14" t="s">
        <v>633</v>
      </c>
    </row>
    <row r="3" customFormat="false" ht="15" hidden="false" customHeight="true" outlineLevel="0" collapsed="false">
      <c r="A3" s="13" t="s">
        <v>277</v>
      </c>
      <c r="B3" s="14" t="s">
        <v>634</v>
      </c>
      <c r="C3" s="13" t="s">
        <v>630</v>
      </c>
      <c r="D3" s="15" t="s">
        <v>631</v>
      </c>
      <c r="E3" s="15" t="s">
        <v>631</v>
      </c>
      <c r="F3" s="15" t="s">
        <v>631</v>
      </c>
      <c r="G3" s="15" t="s">
        <v>631</v>
      </c>
      <c r="H3" s="15" t="s">
        <v>631</v>
      </c>
      <c r="I3" s="15" t="s">
        <v>631</v>
      </c>
      <c r="J3" s="13" t="s">
        <v>635</v>
      </c>
      <c r="K3" s="14" t="s">
        <v>636</v>
      </c>
    </row>
    <row r="4" customFormat="false" ht="15" hidden="false" customHeight="true" outlineLevel="0" collapsed="false">
      <c r="A4" s="13" t="s">
        <v>166</v>
      </c>
      <c r="B4" s="14" t="s">
        <v>637</v>
      </c>
      <c r="C4" s="13" t="s">
        <v>638</v>
      </c>
      <c r="D4" s="15" t="s">
        <v>631</v>
      </c>
      <c r="E4" s="13"/>
      <c r="F4" s="13"/>
      <c r="G4" s="13"/>
      <c r="H4" s="13"/>
      <c r="I4" s="13"/>
      <c r="J4" s="13" t="s">
        <v>639</v>
      </c>
      <c r="K4" s="14" t="s">
        <v>640</v>
      </c>
    </row>
    <row r="5" customFormat="false" ht="15" hidden="false" customHeight="true" outlineLevel="0" collapsed="false">
      <c r="A5" s="13" t="s">
        <v>506</v>
      </c>
      <c r="B5" s="14" t="s">
        <v>507</v>
      </c>
      <c r="C5" s="13" t="s">
        <v>638</v>
      </c>
      <c r="D5" s="15" t="s">
        <v>631</v>
      </c>
      <c r="E5" s="13"/>
      <c r="F5" s="13"/>
      <c r="G5" s="13"/>
      <c r="H5" s="13"/>
      <c r="I5" s="13"/>
      <c r="J5" s="13" t="s">
        <v>641</v>
      </c>
      <c r="K5" s="14" t="s">
        <v>642</v>
      </c>
    </row>
    <row r="6" customFormat="false" ht="15" hidden="false" customHeight="true" outlineLevel="0" collapsed="false">
      <c r="A6" s="13" t="s">
        <v>58</v>
      </c>
      <c r="B6" s="14" t="s">
        <v>643</v>
      </c>
      <c r="C6" s="13" t="s">
        <v>638</v>
      </c>
      <c r="D6" s="13"/>
      <c r="E6" s="15" t="s">
        <v>631</v>
      </c>
      <c r="F6" s="13"/>
      <c r="G6" s="13"/>
      <c r="H6" s="13"/>
      <c r="I6" s="13"/>
      <c r="J6" s="13" t="s">
        <v>641</v>
      </c>
      <c r="K6" s="14" t="s">
        <v>633</v>
      </c>
    </row>
    <row r="7" customFormat="false" ht="15" hidden="false" customHeight="true" outlineLevel="0" collapsed="false">
      <c r="A7" s="13" t="s">
        <v>234</v>
      </c>
      <c r="B7" s="14" t="s">
        <v>644</v>
      </c>
      <c r="C7" s="13" t="s">
        <v>638</v>
      </c>
      <c r="D7" s="13"/>
      <c r="E7" s="15" t="s">
        <v>631</v>
      </c>
      <c r="F7" s="13"/>
      <c r="G7" s="13"/>
      <c r="H7" s="13"/>
      <c r="I7" s="13"/>
      <c r="J7" s="13" t="s">
        <v>645</v>
      </c>
      <c r="K7" s="14" t="s">
        <v>633</v>
      </c>
    </row>
    <row r="8" customFormat="false" ht="15" hidden="false" customHeight="true" outlineLevel="0" collapsed="false">
      <c r="A8" s="13" t="s">
        <v>88</v>
      </c>
      <c r="B8" s="14" t="s">
        <v>646</v>
      </c>
      <c r="C8" s="13" t="s">
        <v>638</v>
      </c>
      <c r="D8" s="13"/>
      <c r="E8" s="13"/>
      <c r="F8" s="15" t="s">
        <v>631</v>
      </c>
      <c r="G8" s="13"/>
      <c r="H8" s="13"/>
      <c r="I8" s="13"/>
      <c r="J8" s="13" t="s">
        <v>645</v>
      </c>
      <c r="K8" s="14" t="s">
        <v>647</v>
      </c>
    </row>
    <row r="9" customFormat="false" ht="15" hidden="false" customHeight="true" outlineLevel="0" collapsed="false">
      <c r="A9" s="13" t="s">
        <v>365</v>
      </c>
      <c r="B9" s="14" t="s">
        <v>648</v>
      </c>
      <c r="C9" s="13" t="s">
        <v>638</v>
      </c>
      <c r="D9" s="13"/>
      <c r="E9" s="13"/>
      <c r="F9" s="15" t="s">
        <v>631</v>
      </c>
      <c r="G9" s="13"/>
      <c r="H9" s="13"/>
      <c r="I9" s="13"/>
      <c r="J9" s="13" t="s">
        <v>641</v>
      </c>
      <c r="K9" s="14" t="s">
        <v>649</v>
      </c>
    </row>
    <row r="10" customFormat="false" ht="15" hidden="false" customHeight="true" outlineLevel="0" collapsed="false">
      <c r="A10" s="13" t="s">
        <v>382</v>
      </c>
      <c r="B10" s="14" t="s">
        <v>383</v>
      </c>
      <c r="C10" s="13" t="s">
        <v>638</v>
      </c>
      <c r="D10" s="13"/>
      <c r="E10" s="13"/>
      <c r="F10" s="15" t="s">
        <v>631</v>
      </c>
      <c r="G10" s="13"/>
      <c r="H10" s="13"/>
      <c r="I10" s="13"/>
      <c r="J10" s="13" t="s">
        <v>632</v>
      </c>
      <c r="K10" s="14" t="s">
        <v>649</v>
      </c>
    </row>
    <row r="11" customFormat="false" ht="15" hidden="false" customHeight="true" outlineLevel="0" collapsed="false">
      <c r="A11" s="13" t="s">
        <v>422</v>
      </c>
      <c r="B11" s="14" t="s">
        <v>650</v>
      </c>
      <c r="C11" s="13" t="s">
        <v>638</v>
      </c>
      <c r="D11" s="13"/>
      <c r="E11" s="13"/>
      <c r="F11" s="13"/>
      <c r="G11" s="15" t="s">
        <v>631</v>
      </c>
      <c r="H11" s="13"/>
      <c r="I11" s="13"/>
      <c r="J11" s="13" t="s">
        <v>641</v>
      </c>
      <c r="K11" s="14" t="s">
        <v>651</v>
      </c>
    </row>
    <row r="12" customFormat="false" ht="15" hidden="false" customHeight="true" outlineLevel="0" collapsed="false">
      <c r="A12" s="13" t="s">
        <v>435</v>
      </c>
      <c r="B12" s="14" t="s">
        <v>652</v>
      </c>
      <c r="C12" s="13" t="s">
        <v>638</v>
      </c>
      <c r="D12" s="13"/>
      <c r="E12" s="13"/>
      <c r="F12" s="13"/>
      <c r="G12" s="15" t="s">
        <v>631</v>
      </c>
      <c r="H12" s="13"/>
      <c r="I12" s="13"/>
      <c r="J12" s="13" t="s">
        <v>639</v>
      </c>
      <c r="K12" s="14" t="s">
        <v>651</v>
      </c>
    </row>
    <row r="13" customFormat="false" ht="15" hidden="false" customHeight="true" outlineLevel="0" collapsed="false">
      <c r="A13" s="13" t="s">
        <v>457</v>
      </c>
      <c r="B13" s="14" t="s">
        <v>458</v>
      </c>
      <c r="C13" s="13" t="s">
        <v>638</v>
      </c>
      <c r="D13" s="13"/>
      <c r="E13" s="13"/>
      <c r="F13" s="13"/>
      <c r="G13" s="15" t="s">
        <v>631</v>
      </c>
      <c r="H13" s="13"/>
      <c r="I13" s="13"/>
      <c r="J13" s="13" t="s">
        <v>645</v>
      </c>
      <c r="K13" s="14" t="s">
        <v>653</v>
      </c>
    </row>
    <row r="14" customFormat="false" ht="15" hidden="false" customHeight="true" outlineLevel="0" collapsed="false">
      <c r="A14" s="13" t="s">
        <v>144</v>
      </c>
      <c r="B14" s="14" t="s">
        <v>654</v>
      </c>
      <c r="C14" s="13" t="s">
        <v>638</v>
      </c>
      <c r="D14" s="13"/>
      <c r="E14" s="13"/>
      <c r="F14" s="13"/>
      <c r="G14" s="15" t="s">
        <v>631</v>
      </c>
      <c r="H14" s="13"/>
      <c r="I14" s="13"/>
      <c r="J14" s="13" t="s">
        <v>641</v>
      </c>
      <c r="K14" s="14" t="s">
        <v>633</v>
      </c>
    </row>
    <row r="15" customFormat="false" ht="15" hidden="false" customHeight="true" outlineLevel="0" collapsed="false">
      <c r="A15" s="13" t="s">
        <v>116</v>
      </c>
      <c r="B15" s="14" t="s">
        <v>655</v>
      </c>
      <c r="C15" s="13" t="s">
        <v>638</v>
      </c>
      <c r="D15" s="13"/>
      <c r="E15" s="13"/>
      <c r="F15" s="13"/>
      <c r="G15" s="13"/>
      <c r="H15" s="15" t="s">
        <v>631</v>
      </c>
      <c r="I15" s="13"/>
      <c r="J15" s="13" t="s">
        <v>645</v>
      </c>
      <c r="K15" s="14" t="s">
        <v>656</v>
      </c>
    </row>
    <row r="16" customFormat="false" ht="15" hidden="false" customHeight="true" outlineLevel="0" collapsed="false">
      <c r="A16" s="13" t="s">
        <v>598</v>
      </c>
      <c r="B16" s="14" t="s">
        <v>599</v>
      </c>
      <c r="C16" s="13" t="s">
        <v>638</v>
      </c>
      <c r="D16" s="13"/>
      <c r="E16" s="13"/>
      <c r="F16" s="13"/>
      <c r="G16" s="13"/>
      <c r="H16" s="15" t="s">
        <v>631</v>
      </c>
      <c r="I16" s="13"/>
      <c r="J16" s="13" t="s">
        <v>645</v>
      </c>
      <c r="K16" s="14" t="s">
        <v>657</v>
      </c>
    </row>
    <row r="17" customFormat="false" ht="15" hidden="false" customHeight="true" outlineLevel="0" collapsed="false">
      <c r="A17" s="13" t="s">
        <v>255</v>
      </c>
      <c r="B17" s="14" t="s">
        <v>658</v>
      </c>
      <c r="C17" s="13" t="s">
        <v>638</v>
      </c>
      <c r="D17" s="13"/>
      <c r="E17" s="13"/>
      <c r="F17" s="13"/>
      <c r="G17" s="13"/>
      <c r="H17" s="15" t="s">
        <v>631</v>
      </c>
      <c r="I17" s="13"/>
      <c r="J17" s="13" t="s">
        <v>632</v>
      </c>
      <c r="K17" s="14" t="s">
        <v>633</v>
      </c>
    </row>
    <row r="18" customFormat="false" ht="15" hidden="false" customHeight="true" outlineLevel="0" collapsed="false">
      <c r="A18" s="13" t="s">
        <v>394</v>
      </c>
      <c r="B18" s="14" t="s">
        <v>395</v>
      </c>
      <c r="C18" s="13" t="s">
        <v>659</v>
      </c>
      <c r="D18" s="13"/>
      <c r="E18" s="15" t="s">
        <v>631</v>
      </c>
      <c r="F18" s="13"/>
      <c r="G18" s="13"/>
      <c r="H18" s="13"/>
      <c r="I18" s="13"/>
      <c r="J18" s="13" t="s">
        <v>641</v>
      </c>
      <c r="K18" s="14" t="s">
        <v>649</v>
      </c>
    </row>
    <row r="19" customFormat="false" ht="15" hidden="false" customHeight="true" outlineLevel="0" collapsed="false">
      <c r="A19" s="13" t="s">
        <v>406</v>
      </c>
      <c r="B19" s="14" t="s">
        <v>407</v>
      </c>
      <c r="C19" s="13" t="s">
        <v>659</v>
      </c>
      <c r="D19" s="13"/>
      <c r="E19" s="13"/>
      <c r="F19" s="13"/>
      <c r="G19" s="13"/>
      <c r="H19" s="15" t="s">
        <v>631</v>
      </c>
      <c r="I19" s="13"/>
      <c r="J19" s="13" t="s">
        <v>641</v>
      </c>
      <c r="K19" s="14" t="s">
        <v>649</v>
      </c>
    </row>
    <row r="20" customFormat="false" ht="15" hidden="false" customHeight="true" outlineLevel="0" collapsed="false">
      <c r="A20" s="13" t="s">
        <v>577</v>
      </c>
      <c r="B20" s="14" t="s">
        <v>578</v>
      </c>
      <c r="C20" s="13" t="s">
        <v>659</v>
      </c>
      <c r="D20" s="15" t="s">
        <v>631</v>
      </c>
      <c r="E20" s="13"/>
      <c r="F20" s="13"/>
      <c r="G20" s="13"/>
      <c r="H20" s="13"/>
      <c r="I20" s="13"/>
      <c r="J20" s="13" t="s">
        <v>645</v>
      </c>
      <c r="K20" s="14" t="s">
        <v>657</v>
      </c>
    </row>
    <row r="21" customFormat="false" ht="15" hidden="false" customHeight="true" outlineLevel="0" collapsed="false">
      <c r="A21" s="13" t="s">
        <v>297</v>
      </c>
      <c r="B21" s="14" t="s">
        <v>660</v>
      </c>
      <c r="C21" s="13" t="s">
        <v>661</v>
      </c>
      <c r="D21" s="13"/>
      <c r="E21" s="13"/>
      <c r="F21" s="15" t="s">
        <v>631</v>
      </c>
      <c r="G21" s="13"/>
      <c r="H21" s="13"/>
      <c r="I21" s="13"/>
      <c r="J21" s="13" t="s">
        <v>641</v>
      </c>
      <c r="K21" s="14" t="s">
        <v>633</v>
      </c>
    </row>
    <row r="22" customFormat="false" ht="15" hidden="false" customHeight="true" outlineLevel="0" collapsed="false">
      <c r="A22" s="13" t="s">
        <v>311</v>
      </c>
      <c r="B22" s="14" t="s">
        <v>662</v>
      </c>
      <c r="C22" s="13" t="s">
        <v>661</v>
      </c>
      <c r="D22" s="13"/>
      <c r="E22" s="13"/>
      <c r="F22" s="15" t="s">
        <v>631</v>
      </c>
      <c r="G22" s="13"/>
      <c r="H22" s="13"/>
      <c r="I22" s="13"/>
      <c r="J22" s="13" t="s">
        <v>641</v>
      </c>
      <c r="K22" s="14" t="s">
        <v>633</v>
      </c>
    </row>
    <row r="23" customFormat="false" ht="15" hidden="false" customHeight="true" outlineLevel="0" collapsed="false">
      <c r="A23" s="13" t="s">
        <v>529</v>
      </c>
      <c r="B23" s="14" t="s">
        <v>530</v>
      </c>
      <c r="C23" s="13" t="s">
        <v>661</v>
      </c>
      <c r="D23" s="13"/>
      <c r="E23" s="15" t="s">
        <v>631</v>
      </c>
      <c r="F23" s="13"/>
      <c r="G23" s="13"/>
      <c r="H23" s="13"/>
      <c r="I23" s="13"/>
      <c r="J23" s="13" t="s">
        <v>645</v>
      </c>
      <c r="K23" s="14" t="s">
        <v>663</v>
      </c>
    </row>
    <row r="24" customFormat="false" ht="15" hidden="false" customHeight="true" outlineLevel="0" collapsed="false">
      <c r="A24" s="13" t="s">
        <v>552</v>
      </c>
      <c r="B24" s="14" t="s">
        <v>553</v>
      </c>
      <c r="C24" s="13" t="s">
        <v>661</v>
      </c>
      <c r="D24" s="13"/>
      <c r="E24" s="13"/>
      <c r="F24" s="13"/>
      <c r="G24" s="15" t="s">
        <v>631</v>
      </c>
      <c r="H24" s="13"/>
      <c r="I24" s="13"/>
      <c r="J24" s="13" t="s">
        <v>645</v>
      </c>
      <c r="K24" s="14" t="s">
        <v>664</v>
      </c>
    </row>
    <row r="25" customFormat="false" ht="15" hidden="false" customHeight="true" outlineLevel="0" collapsed="false">
      <c r="A25" s="13" t="s">
        <v>481</v>
      </c>
      <c r="B25" s="14" t="s">
        <v>482</v>
      </c>
      <c r="C25" s="13" t="s">
        <v>661</v>
      </c>
      <c r="D25" s="13"/>
      <c r="E25" s="13"/>
      <c r="F25" s="13"/>
      <c r="G25" s="13"/>
      <c r="H25" s="15" t="s">
        <v>631</v>
      </c>
      <c r="I25" s="13"/>
      <c r="J25" s="13" t="s">
        <v>665</v>
      </c>
      <c r="K25" s="14" t="s">
        <v>666</v>
      </c>
    </row>
    <row r="26" customFormat="false" ht="23.25" hidden="false" customHeight="true" outlineLevel="0" collapsed="false">
      <c r="A26" s="13" t="s">
        <v>210</v>
      </c>
      <c r="B26" s="14" t="s">
        <v>667</v>
      </c>
      <c r="C26" s="13" t="s">
        <v>668</v>
      </c>
      <c r="D26" s="13" t="s">
        <v>669</v>
      </c>
      <c r="E26" s="13" t="s">
        <v>669</v>
      </c>
      <c r="F26" s="13" t="s">
        <v>669</v>
      </c>
      <c r="G26" s="13" t="s">
        <v>669</v>
      </c>
      <c r="H26" s="13" t="s">
        <v>669</v>
      </c>
      <c r="I26" s="13" t="s">
        <v>669</v>
      </c>
      <c r="J26" s="13" t="s">
        <v>670</v>
      </c>
      <c r="K26" s="14" t="s">
        <v>671</v>
      </c>
    </row>
    <row r="27" customFormat="false" ht="15" hidden="false" customHeight="true" outlineLevel="0" collapsed="false">
      <c r="A27" s="13" t="s">
        <v>329</v>
      </c>
      <c r="B27" s="14" t="s">
        <v>672</v>
      </c>
      <c r="C27" s="13" t="s">
        <v>668</v>
      </c>
      <c r="D27" s="13" t="s">
        <v>669</v>
      </c>
      <c r="E27" s="13" t="s">
        <v>669</v>
      </c>
      <c r="F27" s="13" t="s">
        <v>669</v>
      </c>
      <c r="G27" s="13" t="s">
        <v>669</v>
      </c>
      <c r="H27" s="13" t="s">
        <v>669</v>
      </c>
      <c r="I27" s="13" t="s">
        <v>669</v>
      </c>
      <c r="J27" s="13" t="s">
        <v>673</v>
      </c>
      <c r="K27" s="14" t="s">
        <v>633</v>
      </c>
    </row>
    <row r="28" customFormat="false" ht="23.25" hidden="false" customHeight="true" outlineLevel="0" collapsed="false">
      <c r="A28" s="13" t="s">
        <v>347</v>
      </c>
      <c r="B28" s="14" t="s">
        <v>674</v>
      </c>
      <c r="C28" s="13" t="s">
        <v>675</v>
      </c>
      <c r="D28" s="13" t="s">
        <v>669</v>
      </c>
      <c r="E28" s="13" t="s">
        <v>669</v>
      </c>
      <c r="F28" s="13" t="s">
        <v>669</v>
      </c>
      <c r="G28" s="13" t="s">
        <v>669</v>
      </c>
      <c r="H28" s="13" t="s">
        <v>669</v>
      </c>
      <c r="I28" s="13" t="s">
        <v>669</v>
      </c>
      <c r="J28" s="13" t="s">
        <v>635</v>
      </c>
      <c r="K28" s="14" t="s">
        <v>676</v>
      </c>
    </row>
    <row r="30" customFormat="false" ht="15" hidden="false" customHeight="true" outlineLevel="0" collapsed="false">
      <c r="A30" s="4" t="s">
        <v>677</v>
      </c>
    </row>
    <row r="31" customFormat="false" ht="25.5" hidden="false" customHeight="true" outlineLevel="0" collapsed="false">
      <c r="A31" s="16" t="s">
        <v>678</v>
      </c>
      <c r="B31" s="17" t="s">
        <v>679</v>
      </c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25.5" hidden="false" customHeight="true" outlineLevel="0" collapsed="false">
      <c r="A32" s="16" t="s">
        <v>678</v>
      </c>
      <c r="B32" s="17" t="s">
        <v>680</v>
      </c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25.5" hidden="false" customHeight="true" outlineLevel="0" collapsed="false">
      <c r="A33" s="16" t="s">
        <v>678</v>
      </c>
      <c r="B33" s="17" t="s">
        <v>681</v>
      </c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25.5" hidden="false" customHeight="true" outlineLevel="0" collapsed="false">
      <c r="A34" s="16" t="s">
        <v>678</v>
      </c>
      <c r="B34" s="17" t="s">
        <v>682</v>
      </c>
      <c r="C34" s="17"/>
      <c r="D34" s="17"/>
      <c r="E34" s="17"/>
      <c r="F34" s="17"/>
      <c r="G34" s="17"/>
      <c r="H34" s="17"/>
      <c r="I34" s="17"/>
      <c r="J34" s="17"/>
      <c r="K34" s="17"/>
    </row>
  </sheetData>
  <autoFilter ref="A1:K28"/>
  <mergeCells count="4">
    <mergeCell ref="B31:K31"/>
    <mergeCell ref="B32:K32"/>
    <mergeCell ref="B33:K33"/>
    <mergeCell ref="B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4"/>
    <col collapsed="false" customWidth="true" hidden="false" outlineLevel="0" max="3" min="3" style="1" width="5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15" hidden="false" customHeight="true" outlineLevel="0" collapsed="false">
      <c r="A1" s="18" t="s">
        <v>683</v>
      </c>
      <c r="B1" s="18" t="s">
        <v>684</v>
      </c>
      <c r="C1" s="18" t="s">
        <v>685</v>
      </c>
      <c r="D1" s="18" t="s">
        <v>686</v>
      </c>
      <c r="E1" s="18" t="s">
        <v>620</v>
      </c>
      <c r="F1" s="18" t="s">
        <v>687</v>
      </c>
    </row>
    <row r="2" customFormat="false" ht="15" hidden="false" customHeight="true" outlineLevel="0" collapsed="false">
      <c r="A2" s="19" t="s">
        <v>688</v>
      </c>
      <c r="B2" s="11" t="s">
        <v>689</v>
      </c>
      <c r="C2" s="11" t="s">
        <v>690</v>
      </c>
      <c r="D2" s="11" t="s">
        <v>691</v>
      </c>
      <c r="E2" s="13" t="s">
        <v>661</v>
      </c>
      <c r="F2" s="13" t="s">
        <v>669</v>
      </c>
    </row>
    <row r="3" customFormat="false" ht="15" hidden="false" customHeight="true" outlineLevel="0" collapsed="false">
      <c r="A3" s="19" t="s">
        <v>688</v>
      </c>
      <c r="B3" s="11" t="s">
        <v>692</v>
      </c>
      <c r="C3" s="11" t="s">
        <v>693</v>
      </c>
      <c r="D3" s="11" t="s">
        <v>694</v>
      </c>
      <c r="E3" s="13" t="s">
        <v>661</v>
      </c>
      <c r="F3" s="13" t="s">
        <v>695</v>
      </c>
    </row>
    <row r="4" customFormat="false" ht="15" hidden="false" customHeight="true" outlineLevel="0" collapsed="false">
      <c r="A4" s="19" t="s">
        <v>688</v>
      </c>
      <c r="B4" s="11" t="s">
        <v>696</v>
      </c>
      <c r="C4" s="11" t="s">
        <v>697</v>
      </c>
      <c r="D4" s="11" t="s">
        <v>694</v>
      </c>
      <c r="E4" s="13" t="s">
        <v>661</v>
      </c>
      <c r="F4" s="13" t="s">
        <v>698</v>
      </c>
    </row>
    <row r="5" customFormat="false" ht="15" hidden="false" customHeight="true" outlineLevel="0" collapsed="false">
      <c r="A5" s="19" t="s">
        <v>688</v>
      </c>
      <c r="B5" s="11" t="s">
        <v>699</v>
      </c>
      <c r="C5" s="11" t="s">
        <v>700</v>
      </c>
      <c r="D5" s="11" t="s">
        <v>701</v>
      </c>
      <c r="E5" s="13" t="s">
        <v>638</v>
      </c>
      <c r="F5" s="13" t="s">
        <v>702</v>
      </c>
    </row>
    <row r="6" customFormat="false" ht="15" hidden="false" customHeight="true" outlineLevel="0" collapsed="false">
      <c r="A6" s="19" t="s">
        <v>688</v>
      </c>
      <c r="B6" s="11" t="s">
        <v>703</v>
      </c>
      <c r="C6" s="11" t="s">
        <v>704</v>
      </c>
      <c r="D6" s="11" t="s">
        <v>701</v>
      </c>
      <c r="E6" s="13" t="s">
        <v>638</v>
      </c>
      <c r="F6" s="13" t="s">
        <v>705</v>
      </c>
    </row>
    <row r="7" customFormat="false" ht="15" hidden="false" customHeight="true" outlineLevel="0" collapsed="false">
      <c r="A7" s="19" t="s">
        <v>688</v>
      </c>
      <c r="B7" s="11" t="s">
        <v>706</v>
      </c>
      <c r="C7" s="11" t="s">
        <v>707</v>
      </c>
      <c r="D7" s="11" t="s">
        <v>708</v>
      </c>
      <c r="E7" s="13" t="s">
        <v>638</v>
      </c>
      <c r="F7" s="13" t="s">
        <v>669</v>
      </c>
    </row>
    <row r="8" customFormat="false" ht="15" hidden="false" customHeight="true" outlineLevel="0" collapsed="false">
      <c r="A8" s="19" t="s">
        <v>688</v>
      </c>
      <c r="B8" s="11" t="s">
        <v>709</v>
      </c>
      <c r="C8" s="11" t="s">
        <v>710</v>
      </c>
      <c r="D8" s="11" t="s">
        <v>711</v>
      </c>
      <c r="E8" s="13" t="s">
        <v>638</v>
      </c>
      <c r="F8" s="13" t="s">
        <v>669</v>
      </c>
    </row>
    <row r="9" customFormat="false" ht="23.25" hidden="false" customHeight="true" outlineLevel="0" collapsed="false">
      <c r="A9" s="19" t="s">
        <v>688</v>
      </c>
      <c r="B9" s="11" t="s">
        <v>712</v>
      </c>
      <c r="C9" s="11" t="s">
        <v>713</v>
      </c>
      <c r="D9" s="11" t="s">
        <v>714</v>
      </c>
      <c r="E9" s="13" t="s">
        <v>661</v>
      </c>
      <c r="F9" s="13" t="s">
        <v>715</v>
      </c>
    </row>
    <row r="10" customFormat="false" ht="15" hidden="false" customHeight="true" outlineLevel="0" collapsed="false">
      <c r="A10" s="19" t="s">
        <v>688</v>
      </c>
      <c r="B10" s="11" t="s">
        <v>716</v>
      </c>
      <c r="C10" s="11" t="s">
        <v>717</v>
      </c>
      <c r="D10" s="11" t="s">
        <v>718</v>
      </c>
      <c r="E10" s="13" t="s">
        <v>638</v>
      </c>
      <c r="F10" s="13" t="s">
        <v>719</v>
      </c>
    </row>
    <row r="11" customFormat="false" ht="15" hidden="false" customHeight="true" outlineLevel="0" collapsed="false">
      <c r="A11" s="19" t="s">
        <v>688</v>
      </c>
      <c r="B11" s="11" t="s">
        <v>720</v>
      </c>
      <c r="C11" s="11" t="s">
        <v>721</v>
      </c>
      <c r="D11" s="11" t="s">
        <v>722</v>
      </c>
      <c r="E11" s="13" t="s">
        <v>661</v>
      </c>
      <c r="F11" s="13" t="s">
        <v>723</v>
      </c>
    </row>
    <row r="12" customFormat="false" ht="15" hidden="false" customHeight="true" outlineLevel="0" collapsed="false">
      <c r="A12" s="19" t="s">
        <v>688</v>
      </c>
      <c r="B12" s="11" t="s">
        <v>724</v>
      </c>
      <c r="C12" s="11" t="s">
        <v>725</v>
      </c>
      <c r="D12" s="11" t="s">
        <v>722</v>
      </c>
      <c r="E12" s="13" t="s">
        <v>661</v>
      </c>
      <c r="F12" s="13" t="s">
        <v>719</v>
      </c>
    </row>
    <row r="13" customFormat="false" ht="15" hidden="false" customHeight="true" outlineLevel="0" collapsed="false">
      <c r="A13" s="19" t="s">
        <v>688</v>
      </c>
      <c r="B13" s="11" t="s">
        <v>726</v>
      </c>
      <c r="C13" s="11" t="s">
        <v>727</v>
      </c>
      <c r="D13" s="11" t="s">
        <v>701</v>
      </c>
      <c r="E13" s="13" t="s">
        <v>661</v>
      </c>
      <c r="F13" s="13" t="s">
        <v>728</v>
      </c>
    </row>
    <row r="14" customFormat="false" ht="15" hidden="false" customHeight="true" outlineLevel="0" collapsed="false">
      <c r="A14" s="19" t="s">
        <v>688</v>
      </c>
      <c r="B14" s="11" t="s">
        <v>729</v>
      </c>
      <c r="C14" s="11" t="s">
        <v>730</v>
      </c>
      <c r="D14" s="11" t="s">
        <v>701</v>
      </c>
      <c r="E14" s="13" t="s">
        <v>661</v>
      </c>
      <c r="F14" s="13" t="s">
        <v>731</v>
      </c>
    </row>
    <row r="15" customFormat="false" ht="15" hidden="false" customHeight="true" outlineLevel="0" collapsed="false">
      <c r="A15" s="19" t="s">
        <v>688</v>
      </c>
      <c r="B15" s="11" t="s">
        <v>732</v>
      </c>
      <c r="C15" s="11" t="s">
        <v>733</v>
      </c>
      <c r="D15" s="11" t="s">
        <v>701</v>
      </c>
      <c r="E15" s="13" t="s">
        <v>661</v>
      </c>
      <c r="F15" s="13" t="s">
        <v>734</v>
      </c>
    </row>
    <row r="16" customFormat="false" ht="15" hidden="false" customHeight="true" outlineLevel="0" collapsed="false">
      <c r="A16" s="20" t="s">
        <v>423</v>
      </c>
      <c r="B16" s="11" t="s">
        <v>735</v>
      </c>
      <c r="C16" s="11" t="s">
        <v>736</v>
      </c>
      <c r="D16" s="11" t="s">
        <v>737</v>
      </c>
      <c r="E16" s="13" t="s">
        <v>661</v>
      </c>
      <c r="F16" s="13" t="s">
        <v>738</v>
      </c>
    </row>
    <row r="17" customFormat="false" ht="15" hidden="false" customHeight="true" outlineLevel="0" collapsed="false">
      <c r="A17" s="20" t="s">
        <v>423</v>
      </c>
      <c r="B17" s="11" t="s">
        <v>739</v>
      </c>
      <c r="C17" s="11" t="s">
        <v>740</v>
      </c>
      <c r="D17" s="11" t="s">
        <v>741</v>
      </c>
      <c r="E17" s="13" t="s">
        <v>661</v>
      </c>
      <c r="F17" s="13" t="s">
        <v>728</v>
      </c>
    </row>
    <row r="18" customFormat="false" ht="15" hidden="false" customHeight="true" outlineLevel="0" collapsed="false">
      <c r="A18" s="20" t="s">
        <v>423</v>
      </c>
      <c r="B18" s="11" t="s">
        <v>742</v>
      </c>
      <c r="C18" s="11" t="s">
        <v>743</v>
      </c>
      <c r="D18" s="11" t="s">
        <v>744</v>
      </c>
      <c r="E18" s="13" t="s">
        <v>661</v>
      </c>
      <c r="F18" s="13" t="s">
        <v>702</v>
      </c>
    </row>
    <row r="19" customFormat="false" ht="15" hidden="false" customHeight="true" outlineLevel="0" collapsed="false">
      <c r="A19" s="20" t="s">
        <v>423</v>
      </c>
      <c r="B19" s="11" t="s">
        <v>745</v>
      </c>
      <c r="C19" s="11" t="s">
        <v>746</v>
      </c>
      <c r="D19" s="11" t="s">
        <v>741</v>
      </c>
      <c r="E19" s="13" t="s">
        <v>661</v>
      </c>
      <c r="F19" s="13" t="s">
        <v>747</v>
      </c>
    </row>
    <row r="20" customFormat="false" ht="15" hidden="false" customHeight="true" outlineLevel="0" collapsed="false">
      <c r="A20" s="20" t="s">
        <v>423</v>
      </c>
      <c r="B20" s="11" t="s">
        <v>748</v>
      </c>
      <c r="C20" s="11" t="s">
        <v>749</v>
      </c>
      <c r="D20" s="11" t="s">
        <v>750</v>
      </c>
      <c r="E20" s="13" t="s">
        <v>638</v>
      </c>
      <c r="F20" s="13" t="s">
        <v>705</v>
      </c>
    </row>
    <row r="21" customFormat="false" ht="15" hidden="false" customHeight="true" outlineLevel="0" collapsed="false">
      <c r="A21" s="21" t="s">
        <v>366</v>
      </c>
      <c r="B21" s="11" t="s">
        <v>751</v>
      </c>
      <c r="C21" s="11" t="s">
        <v>752</v>
      </c>
      <c r="D21" s="11" t="s">
        <v>753</v>
      </c>
      <c r="E21" s="13" t="s">
        <v>661</v>
      </c>
      <c r="F21" s="13" t="s">
        <v>754</v>
      </c>
    </row>
    <row r="22" customFormat="false" ht="15" hidden="false" customHeight="true" outlineLevel="0" collapsed="false">
      <c r="A22" s="21" t="s">
        <v>366</v>
      </c>
      <c r="B22" s="11" t="s">
        <v>755</v>
      </c>
      <c r="C22" s="11" t="s">
        <v>756</v>
      </c>
      <c r="D22" s="11" t="s">
        <v>757</v>
      </c>
      <c r="E22" s="13" t="s">
        <v>661</v>
      </c>
      <c r="F22" s="13" t="s">
        <v>669</v>
      </c>
    </row>
    <row r="23" customFormat="false" ht="15" hidden="false" customHeight="true" outlineLevel="0" collapsed="false">
      <c r="A23" s="21" t="s">
        <v>366</v>
      </c>
      <c r="B23" s="11" t="s">
        <v>758</v>
      </c>
      <c r="C23" s="11" t="s">
        <v>759</v>
      </c>
      <c r="D23" s="11" t="s">
        <v>760</v>
      </c>
      <c r="E23" s="13" t="s">
        <v>661</v>
      </c>
      <c r="F23" s="13" t="s">
        <v>761</v>
      </c>
    </row>
    <row r="24" customFormat="false" ht="15" hidden="false" customHeight="true" outlineLevel="0" collapsed="false">
      <c r="A24" s="21" t="s">
        <v>366</v>
      </c>
      <c r="B24" s="11" t="s">
        <v>762</v>
      </c>
      <c r="C24" s="11" t="s">
        <v>763</v>
      </c>
      <c r="D24" s="11" t="s">
        <v>753</v>
      </c>
      <c r="E24" s="13" t="s">
        <v>661</v>
      </c>
      <c r="F24" s="13" t="s">
        <v>754</v>
      </c>
    </row>
    <row r="25" customFormat="false" ht="15" hidden="false" customHeight="true" outlineLevel="0" collapsed="false">
      <c r="A25" s="21" t="s">
        <v>366</v>
      </c>
      <c r="B25" s="11" t="s">
        <v>764</v>
      </c>
      <c r="C25" s="11" t="s">
        <v>765</v>
      </c>
      <c r="D25" s="11" t="s">
        <v>766</v>
      </c>
      <c r="E25" s="13" t="s">
        <v>661</v>
      </c>
      <c r="F25" s="13" t="s">
        <v>767</v>
      </c>
    </row>
    <row r="26" customFormat="false" ht="15" hidden="false" customHeight="true" outlineLevel="0" collapsed="false">
      <c r="A26" s="21" t="s">
        <v>366</v>
      </c>
      <c r="B26" s="11" t="s">
        <v>768</v>
      </c>
      <c r="C26" s="11" t="s">
        <v>769</v>
      </c>
      <c r="D26" s="11" t="s">
        <v>770</v>
      </c>
      <c r="E26" s="13" t="s">
        <v>661</v>
      </c>
      <c r="F26" s="13" t="s">
        <v>734</v>
      </c>
    </row>
    <row r="27" customFormat="false" ht="15" hidden="false" customHeight="true" outlineLevel="0" collapsed="false">
      <c r="A27" s="22" t="s">
        <v>599</v>
      </c>
      <c r="B27" s="11" t="s">
        <v>771</v>
      </c>
      <c r="C27" s="11" t="s">
        <v>772</v>
      </c>
      <c r="D27" s="11" t="s">
        <v>773</v>
      </c>
      <c r="E27" s="13" t="s">
        <v>638</v>
      </c>
      <c r="F27" s="13" t="s">
        <v>774</v>
      </c>
    </row>
    <row r="28" customFormat="false" ht="15" hidden="false" customHeight="true" outlineLevel="0" collapsed="false">
      <c r="A28" s="22" t="s">
        <v>599</v>
      </c>
      <c r="B28" s="11" t="s">
        <v>775</v>
      </c>
      <c r="C28" s="11" t="s">
        <v>776</v>
      </c>
      <c r="D28" s="11" t="s">
        <v>777</v>
      </c>
      <c r="E28" s="13" t="s">
        <v>638</v>
      </c>
      <c r="F28" s="13" t="s">
        <v>669</v>
      </c>
    </row>
    <row r="29" customFormat="false" ht="15" hidden="false" customHeight="true" outlineLevel="0" collapsed="false">
      <c r="A29" s="22" t="s">
        <v>599</v>
      </c>
      <c r="B29" s="11" t="s">
        <v>778</v>
      </c>
      <c r="C29" s="11" t="s">
        <v>779</v>
      </c>
      <c r="D29" s="11" t="s">
        <v>780</v>
      </c>
      <c r="E29" s="13" t="s">
        <v>638</v>
      </c>
      <c r="F29" s="13" t="s">
        <v>781</v>
      </c>
    </row>
    <row r="30" customFormat="false" ht="15" hidden="false" customHeight="true" outlineLevel="0" collapsed="false">
      <c r="A30" s="22" t="s">
        <v>599</v>
      </c>
      <c r="B30" s="11" t="s">
        <v>782</v>
      </c>
      <c r="C30" s="11" t="s">
        <v>783</v>
      </c>
      <c r="D30" s="11" t="s">
        <v>780</v>
      </c>
      <c r="E30" s="13" t="s">
        <v>638</v>
      </c>
      <c r="F30" s="13" t="s">
        <v>784</v>
      </c>
    </row>
    <row r="31" customFormat="false" ht="15" hidden="false" customHeight="true" outlineLevel="0" collapsed="false">
      <c r="A31" s="22" t="s">
        <v>599</v>
      </c>
      <c r="B31" s="11" t="s">
        <v>785</v>
      </c>
      <c r="C31" s="11" t="s">
        <v>786</v>
      </c>
      <c r="D31" s="11" t="s">
        <v>787</v>
      </c>
      <c r="E31" s="13" t="s">
        <v>661</v>
      </c>
      <c r="F31" s="13" t="s">
        <v>719</v>
      </c>
    </row>
    <row r="32" customFormat="false" ht="15" hidden="false" customHeight="true" outlineLevel="0" collapsed="false">
      <c r="A32" s="23" t="s">
        <v>788</v>
      </c>
      <c r="B32" s="11" t="s">
        <v>789</v>
      </c>
      <c r="C32" s="11" t="s">
        <v>790</v>
      </c>
      <c r="D32" s="11" t="s">
        <v>718</v>
      </c>
      <c r="E32" s="13" t="s">
        <v>638</v>
      </c>
      <c r="F32" s="13" t="s">
        <v>719</v>
      </c>
    </row>
    <row r="33" customFormat="false" ht="15" hidden="false" customHeight="true" outlineLevel="0" collapsed="false">
      <c r="A33" s="23" t="s">
        <v>788</v>
      </c>
      <c r="B33" s="11" t="s">
        <v>791</v>
      </c>
      <c r="C33" s="11" t="s">
        <v>792</v>
      </c>
      <c r="D33" s="11" t="s">
        <v>793</v>
      </c>
      <c r="E33" s="13" t="s">
        <v>661</v>
      </c>
      <c r="F33" s="13" t="s">
        <v>669</v>
      </c>
    </row>
    <row r="34" customFormat="false" ht="15" hidden="false" customHeight="true" outlineLevel="0" collapsed="false">
      <c r="A34" s="23" t="s">
        <v>788</v>
      </c>
      <c r="B34" s="11" t="s">
        <v>794</v>
      </c>
      <c r="C34" s="11" t="s">
        <v>795</v>
      </c>
      <c r="D34" s="11" t="s">
        <v>796</v>
      </c>
      <c r="E34" s="13" t="s">
        <v>661</v>
      </c>
      <c r="F34" s="13" t="s">
        <v>731</v>
      </c>
    </row>
    <row r="35" customFormat="false" ht="15" hidden="false" customHeight="true" outlineLevel="0" collapsed="false">
      <c r="A35" s="23" t="s">
        <v>788</v>
      </c>
      <c r="B35" s="11" t="s">
        <v>797</v>
      </c>
      <c r="C35" s="11" t="s">
        <v>798</v>
      </c>
      <c r="D35" s="11" t="s">
        <v>701</v>
      </c>
      <c r="E35" s="13" t="s">
        <v>661</v>
      </c>
      <c r="F35" s="13" t="s">
        <v>728</v>
      </c>
    </row>
    <row r="36" customFormat="false" ht="15" hidden="false" customHeight="true" outlineLevel="0" collapsed="false">
      <c r="A36" s="23" t="s">
        <v>788</v>
      </c>
      <c r="B36" s="11" t="s">
        <v>799</v>
      </c>
      <c r="C36" s="11" t="s">
        <v>800</v>
      </c>
      <c r="D36" s="11" t="s">
        <v>801</v>
      </c>
      <c r="E36" s="13" t="s">
        <v>661</v>
      </c>
      <c r="F36" s="13" t="s">
        <v>705</v>
      </c>
    </row>
    <row r="37" customFormat="false" ht="15" hidden="false" customHeight="true" outlineLevel="0" collapsed="false">
      <c r="A37" s="23" t="s">
        <v>788</v>
      </c>
      <c r="B37" s="11" t="s">
        <v>802</v>
      </c>
      <c r="C37" s="11" t="s">
        <v>803</v>
      </c>
      <c r="D37" s="11" t="s">
        <v>801</v>
      </c>
      <c r="E37" s="13" t="s">
        <v>661</v>
      </c>
      <c r="F37" s="13" t="s">
        <v>804</v>
      </c>
    </row>
    <row r="38" customFormat="false" ht="15" hidden="false" customHeight="true" outlineLevel="0" collapsed="false">
      <c r="A38" s="23" t="s">
        <v>788</v>
      </c>
      <c r="B38" s="11" t="s">
        <v>805</v>
      </c>
      <c r="C38" s="11" t="s">
        <v>806</v>
      </c>
      <c r="D38" s="11" t="s">
        <v>807</v>
      </c>
      <c r="E38" s="13" t="s">
        <v>661</v>
      </c>
      <c r="F38" s="13" t="s">
        <v>804</v>
      </c>
    </row>
  </sheetData>
  <autoFilter ref="A1:F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true" outlineLevel="0" max="11" min="11" style="1" width="13"/>
    <col collapsed="false" customWidth="true" hidden="false" outlineLevel="0" max="13" min="13" style="1" width="24"/>
    <col collapsed="false" customWidth="true" hidden="false" outlineLevel="0" max="17" min="14" style="1" width="13"/>
  </cols>
  <sheetData>
    <row r="1" customFormat="false" ht="15" hidden="false" customHeight="true" outlineLevel="0" collapsed="false">
      <c r="A1" s="24" t="s">
        <v>808</v>
      </c>
    </row>
    <row r="3" customFormat="false" ht="15" hidden="false" customHeight="true" outlineLevel="0" collapsed="false">
      <c r="A3" s="25" t="s">
        <v>20</v>
      </c>
      <c r="B3" s="25" t="s">
        <v>17</v>
      </c>
      <c r="C3" s="25" t="s">
        <v>18</v>
      </c>
      <c r="D3" s="25" t="s">
        <v>809</v>
      </c>
      <c r="E3" s="25" t="s">
        <v>24</v>
      </c>
      <c r="F3" s="25" t="s">
        <v>810</v>
      </c>
      <c r="G3" s="25" t="s">
        <v>26</v>
      </c>
      <c r="H3" s="25" t="s">
        <v>811</v>
      </c>
      <c r="I3" s="25" t="s">
        <v>28</v>
      </c>
      <c r="M3" s="4" t="s">
        <v>812</v>
      </c>
      <c r="P3" s="4" t="s">
        <v>813</v>
      </c>
    </row>
    <row r="4" customFormat="false" ht="15" hidden="false" customHeight="true" outlineLevel="0" collapsed="false">
      <c r="A4" s="13" t="str">
        <f aca="false">IF($K4="","",ROWS($K$4:$K4))</f>
        <v/>
      </c>
      <c r="B4" s="13" t="str">
        <f aca="false">IF($K4="","",IF(INDEX(Checklists!$A:$A,$K4)="","",INDEX(Checklists!$A:$A,$K4)))</f>
        <v/>
      </c>
      <c r="C4" s="13" t="str">
        <f aca="false">IF($K4="","",IF(INDEX(Checklists!$B:$B,$K4)="","",INDEX(Checklists!$B:$B,$K4)))</f>
        <v/>
      </c>
      <c r="D4" s="11" t="str">
        <f aca="false">IF($K4="","",IF(INDEX(Checklists!$E:$E,$K4)="","",INDEX(Checklists!$E:$E,$K4)))</f>
        <v/>
      </c>
      <c r="E4" s="11" t="str">
        <f aca="false">IF($K4="","",IF(INDEX(Checklists!$H:$H,$K4)="","",INDEX(Checklists!$H:$H,$K4)))</f>
        <v/>
      </c>
      <c r="F4" s="11" t="str">
        <f aca="false">IF($K4="","",IF(INDEX(Checklists!$I:$I,$K4)="","",INDEX(Checklists!$I:$I,$K4)))</f>
        <v/>
      </c>
      <c r="G4" s="13" t="str">
        <f aca="false">IF($K4="","",IF(INDEX(Checklists!$J:$J,$K4)="","",INDEX(Checklists!$J:$J,$K4)))</f>
        <v/>
      </c>
      <c r="H4" s="26" t="str">
        <f aca="false">IF($K4="","",IF(INDEX(Checklists!$K:$K,$K4)="","",INDEX(Checklists!$K:$K,$K4)))</f>
        <v/>
      </c>
      <c r="I4" s="13" t="str">
        <f aca="false">IF($K4="","",IF(INDEX(Checklists!$L:$L,$K4)="","",INDEX(Checklists!$L:$L,$K4)))</f>
        <v/>
      </c>
      <c r="K4" s="1" t="str">
        <f aca="false">IFERROR(MATCH(ROWS($K$4:$K4),Checklists!$N$2:$N$291,0)+1,"")</f>
        <v/>
      </c>
      <c r="M4" s="6" t="s">
        <v>18</v>
      </c>
      <c r="N4" s="6" t="s">
        <v>814</v>
      </c>
      <c r="P4" s="6" t="s">
        <v>28</v>
      </c>
      <c r="Q4" s="6" t="s">
        <v>815</v>
      </c>
    </row>
    <row r="5" customFormat="false" ht="15" hidden="false" customHeight="true" outlineLevel="0" collapsed="false">
      <c r="A5" s="13" t="str">
        <f aca="false">IF($K5="","",ROWS($K$4:$K5))</f>
        <v/>
      </c>
      <c r="B5" s="13" t="str">
        <f aca="false">IF($K5="","",IF(INDEX(Checklists!$A:$A,$K5)="","",INDEX(Checklists!$A:$A,$K5)))</f>
        <v/>
      </c>
      <c r="C5" s="13" t="str">
        <f aca="false">IF($K5="","",IF(INDEX(Checklists!$B:$B,$K5)="","",INDEX(Checklists!$B:$B,$K5)))</f>
        <v/>
      </c>
      <c r="D5" s="11" t="str">
        <f aca="false">IF($K5="","",IF(INDEX(Checklists!$E:$E,$K5)="","",INDEX(Checklists!$E:$E,$K5)))</f>
        <v/>
      </c>
      <c r="E5" s="11" t="str">
        <f aca="false">IF($K5="","",IF(INDEX(Checklists!$H:$H,$K5)="","",INDEX(Checklists!$H:$H,$K5)))</f>
        <v/>
      </c>
      <c r="F5" s="11" t="str">
        <f aca="false">IF($K5="","",IF(INDEX(Checklists!$I:$I,$K5)="","",INDEX(Checklists!$I:$I,$K5)))</f>
        <v/>
      </c>
      <c r="G5" s="13" t="str">
        <f aca="false">IF($K5="","",IF(INDEX(Checklists!$J:$J,$K5)="","",INDEX(Checklists!$J:$J,$K5)))</f>
        <v/>
      </c>
      <c r="H5" s="26" t="str">
        <f aca="false">IF($K5="","",IF(INDEX(Checklists!$K:$K,$K5)="","",INDEX(Checklists!$K:$K,$K5)))</f>
        <v/>
      </c>
      <c r="I5" s="13" t="str">
        <f aca="false">IF($K5="","",IF(INDEX(Checklists!$L:$L,$K5)="","",INDEX(Checklists!$L:$L,$K5)))</f>
        <v/>
      </c>
      <c r="K5" s="1" t="str">
        <f aca="false">IFERROR(MATCH(ROWS($K$4:$K5),Checklists!$N$2:$N$291,0)+1,"")</f>
        <v/>
      </c>
      <c r="M5" s="27" t="s">
        <v>31</v>
      </c>
      <c r="N5" s="13" t="n">
        <f aca="false">COUNTIFS(Checklists!$B:$B,$M5,Checklists!$G:$G,"Não Conforme")</f>
        <v>0</v>
      </c>
      <c r="P5" s="27" t="s">
        <v>35</v>
      </c>
      <c r="Q5" s="13" t="n">
        <f aca="false">COUNTIFS(Checklists!$G:$G,"Não Conforme",Checklists!$L:$L,$P5)</f>
        <v>0</v>
      </c>
    </row>
    <row r="6" customFormat="false" ht="15" hidden="false" customHeight="true" outlineLevel="0" collapsed="false">
      <c r="A6" s="13" t="str">
        <f aca="false">IF($K6="","",ROWS($K$4:$K6))</f>
        <v/>
      </c>
      <c r="B6" s="13" t="str">
        <f aca="false">IF($K6="","",IF(INDEX(Checklists!$A:$A,$K6)="","",INDEX(Checklists!$A:$A,$K6)))</f>
        <v/>
      </c>
      <c r="C6" s="13" t="str">
        <f aca="false">IF($K6="","",IF(INDEX(Checklists!$B:$B,$K6)="","",INDEX(Checklists!$B:$B,$K6)))</f>
        <v/>
      </c>
      <c r="D6" s="11" t="str">
        <f aca="false">IF($K6="","",IF(INDEX(Checklists!$E:$E,$K6)="","",INDEX(Checklists!$E:$E,$K6)))</f>
        <v/>
      </c>
      <c r="E6" s="11" t="str">
        <f aca="false">IF($K6="","",IF(INDEX(Checklists!$H:$H,$K6)="","",INDEX(Checklists!$H:$H,$K6)))</f>
        <v/>
      </c>
      <c r="F6" s="11" t="str">
        <f aca="false">IF($K6="","",IF(INDEX(Checklists!$I:$I,$K6)="","",INDEX(Checklists!$I:$I,$K6)))</f>
        <v/>
      </c>
      <c r="G6" s="13" t="str">
        <f aca="false">IF($K6="","",IF(INDEX(Checklists!$J:$J,$K6)="","",INDEX(Checklists!$J:$J,$K6)))</f>
        <v/>
      </c>
      <c r="H6" s="26" t="str">
        <f aca="false">IF($K6="","",IF(INDEX(Checklists!$K:$K,$K6)="","",INDEX(Checklists!$K:$K,$K6)))</f>
        <v/>
      </c>
      <c r="I6" s="13" t="str">
        <f aca="false">IF($K6="","",IF(INDEX(Checklists!$L:$L,$K6)="","",INDEX(Checklists!$L:$L,$K6)))</f>
        <v/>
      </c>
      <c r="K6" s="1" t="str">
        <f aca="false">IFERROR(MATCH(ROWS($K$4:$K6),Checklists!$N$2:$N$291,0)+1,"")</f>
        <v/>
      </c>
      <c r="M6" s="27" t="s">
        <v>366</v>
      </c>
      <c r="N6" s="13" t="n">
        <f aca="false">COUNTIFS(Checklists!$B:$B,$M6,Checklists!$G:$G,"Não Conforme")</f>
        <v>0</v>
      </c>
      <c r="P6" s="27" t="s">
        <v>816</v>
      </c>
      <c r="Q6" s="13" t="n">
        <f aca="false">COUNTIFS(Checklists!$G:$G,"Não Conforme",Checklists!$L:$L,$P6)</f>
        <v>0</v>
      </c>
    </row>
    <row r="7" customFormat="false" ht="15" hidden="false" customHeight="true" outlineLevel="0" collapsed="false">
      <c r="A7" s="13" t="str">
        <f aca="false">IF($K7="","",ROWS($K$4:$K7))</f>
        <v/>
      </c>
      <c r="B7" s="13" t="str">
        <f aca="false">IF($K7="","",IF(INDEX(Checklists!$A:$A,$K7)="","",INDEX(Checklists!$A:$A,$K7)))</f>
        <v/>
      </c>
      <c r="C7" s="13" t="str">
        <f aca="false">IF($K7="","",IF(INDEX(Checklists!$B:$B,$K7)="","",INDEX(Checklists!$B:$B,$K7)))</f>
        <v/>
      </c>
      <c r="D7" s="11" t="str">
        <f aca="false">IF($K7="","",IF(INDEX(Checklists!$E:$E,$K7)="","",INDEX(Checklists!$E:$E,$K7)))</f>
        <v/>
      </c>
      <c r="E7" s="11" t="str">
        <f aca="false">IF($K7="","",IF(INDEX(Checklists!$H:$H,$K7)="","",INDEX(Checklists!$H:$H,$K7)))</f>
        <v/>
      </c>
      <c r="F7" s="11" t="str">
        <f aca="false">IF($K7="","",IF(INDEX(Checklists!$I:$I,$K7)="","",INDEX(Checklists!$I:$I,$K7)))</f>
        <v/>
      </c>
      <c r="G7" s="13" t="str">
        <f aca="false">IF($K7="","",IF(INDEX(Checklists!$J:$J,$K7)="","",INDEX(Checklists!$J:$J,$K7)))</f>
        <v/>
      </c>
      <c r="H7" s="26" t="str">
        <f aca="false">IF($K7="","",IF(INDEX(Checklists!$K:$K,$K7)="","",INDEX(Checklists!$K:$K,$K7)))</f>
        <v/>
      </c>
      <c r="I7" s="13" t="str">
        <f aca="false">IF($K7="","",IF(INDEX(Checklists!$L:$L,$K7)="","",INDEX(Checklists!$L:$L,$K7)))</f>
        <v/>
      </c>
      <c r="K7" s="1" t="str">
        <f aca="false">IFERROR(MATCH(ROWS($K$4:$K7),Checklists!$N$2:$N$291,0)+1,"")</f>
        <v/>
      </c>
      <c r="M7" s="27" t="s">
        <v>423</v>
      </c>
      <c r="N7" s="13" t="n">
        <f aca="false">COUNTIFS(Checklists!$B:$B,$M7,Checklists!$G:$G,"Não Conforme")</f>
        <v>0</v>
      </c>
      <c r="P7" s="27" t="s">
        <v>817</v>
      </c>
      <c r="Q7" s="13" t="n">
        <f aca="false">COUNTIFS(Checklists!$G:$G,"Não Conforme",Checklists!$L:$L,$P7)</f>
        <v>0</v>
      </c>
    </row>
    <row r="8" customFormat="false" ht="15" hidden="false" customHeight="true" outlineLevel="0" collapsed="false">
      <c r="A8" s="13" t="str">
        <f aca="false">IF($K8="","",ROWS($K$4:$K8))</f>
        <v/>
      </c>
      <c r="B8" s="13" t="str">
        <f aca="false">IF($K8="","",IF(INDEX(Checklists!$A:$A,$K8)="","",INDEX(Checklists!$A:$A,$K8)))</f>
        <v/>
      </c>
      <c r="C8" s="13" t="str">
        <f aca="false">IF($K8="","",IF(INDEX(Checklists!$B:$B,$K8)="","",INDEX(Checklists!$B:$B,$K8)))</f>
        <v/>
      </c>
      <c r="D8" s="11" t="str">
        <f aca="false">IF($K8="","",IF(INDEX(Checklists!$E:$E,$K8)="","",INDEX(Checklists!$E:$E,$K8)))</f>
        <v/>
      </c>
      <c r="E8" s="11" t="str">
        <f aca="false">IF($K8="","",IF(INDEX(Checklists!$H:$H,$K8)="","",INDEX(Checklists!$H:$H,$K8)))</f>
        <v/>
      </c>
      <c r="F8" s="11" t="str">
        <f aca="false">IF($K8="","",IF(INDEX(Checklists!$I:$I,$K8)="","",INDEX(Checklists!$I:$I,$K8)))</f>
        <v/>
      </c>
      <c r="G8" s="13" t="str">
        <f aca="false">IF($K8="","",IF(INDEX(Checklists!$J:$J,$K8)="","",INDEX(Checklists!$J:$J,$K8)))</f>
        <v/>
      </c>
      <c r="H8" s="26" t="str">
        <f aca="false">IF($K8="","",IF(INDEX(Checklists!$K:$K,$K8)="","",INDEX(Checklists!$K:$K,$K8)))</f>
        <v/>
      </c>
      <c r="I8" s="13" t="str">
        <f aca="false">IF($K8="","",IF(INDEX(Checklists!$L:$L,$K8)="","",INDEX(Checklists!$L:$L,$K8)))</f>
        <v/>
      </c>
      <c r="K8" s="1" t="str">
        <f aca="false">IFERROR(MATCH(ROWS($K$4:$K8),Checklists!$N$2:$N$291,0)+1,"")</f>
        <v/>
      </c>
      <c r="M8" s="27" t="s">
        <v>458</v>
      </c>
      <c r="N8" s="13" t="n">
        <f aca="false">COUNTIFS(Checklists!$B:$B,$M8,Checklists!$G:$G,"Não Conforme")</f>
        <v>0</v>
      </c>
    </row>
    <row r="9" customFormat="false" ht="15" hidden="false" customHeight="true" outlineLevel="0" collapsed="false">
      <c r="A9" s="13" t="str">
        <f aca="false">IF($K9="","",ROWS($K$4:$K9))</f>
        <v/>
      </c>
      <c r="B9" s="13" t="str">
        <f aca="false">IF($K9="","",IF(INDEX(Checklists!$A:$A,$K9)="","",INDEX(Checklists!$A:$A,$K9)))</f>
        <v/>
      </c>
      <c r="C9" s="13" t="str">
        <f aca="false">IF($K9="","",IF(INDEX(Checklists!$B:$B,$K9)="","",INDEX(Checklists!$B:$B,$K9)))</f>
        <v/>
      </c>
      <c r="D9" s="11" t="str">
        <f aca="false">IF($K9="","",IF(INDEX(Checklists!$E:$E,$K9)="","",INDEX(Checklists!$E:$E,$K9)))</f>
        <v/>
      </c>
      <c r="E9" s="11" t="str">
        <f aca="false">IF($K9="","",IF(INDEX(Checklists!$H:$H,$K9)="","",INDEX(Checklists!$H:$H,$K9)))</f>
        <v/>
      </c>
      <c r="F9" s="11" t="str">
        <f aca="false">IF($K9="","",IF(INDEX(Checklists!$I:$I,$K9)="","",INDEX(Checklists!$I:$I,$K9)))</f>
        <v/>
      </c>
      <c r="G9" s="13" t="str">
        <f aca="false">IF($K9="","",IF(INDEX(Checklists!$J:$J,$K9)="","",INDEX(Checklists!$J:$J,$K9)))</f>
        <v/>
      </c>
      <c r="H9" s="26" t="str">
        <f aca="false">IF($K9="","",IF(INDEX(Checklists!$K:$K,$K9)="","",INDEX(Checklists!$K:$K,$K9)))</f>
        <v/>
      </c>
      <c r="I9" s="13" t="str">
        <f aca="false">IF($K9="","",IF(INDEX(Checklists!$L:$L,$K9)="","",INDEX(Checklists!$L:$L,$K9)))</f>
        <v/>
      </c>
      <c r="K9" s="1" t="str">
        <f aca="false">IFERROR(MATCH(ROWS($K$4:$K9),Checklists!$N$2:$N$291,0)+1,"")</f>
        <v/>
      </c>
      <c r="M9" s="27" t="s">
        <v>482</v>
      </c>
      <c r="N9" s="13" t="n">
        <f aca="false">COUNTIFS(Checklists!$B:$B,$M9,Checklists!$G:$G,"Não Conforme")</f>
        <v>0</v>
      </c>
      <c r="P9" s="28" t="s">
        <v>818</v>
      </c>
      <c r="Q9" s="29" t="n">
        <f aca="false">COUNTIFS(Checklists!$G:$G,"Não Conforme")</f>
        <v>0</v>
      </c>
    </row>
    <row r="10" customFormat="false" ht="15" hidden="false" customHeight="true" outlineLevel="0" collapsed="false">
      <c r="A10" s="13" t="str">
        <f aca="false">IF($K10="","",ROWS($K$4:$K10))</f>
        <v/>
      </c>
      <c r="B10" s="13" t="str">
        <f aca="false">IF($K10="","",IF(INDEX(Checklists!$A:$A,$K10)="","",INDEX(Checklists!$A:$A,$K10)))</f>
        <v/>
      </c>
      <c r="C10" s="13" t="str">
        <f aca="false">IF($K10="","",IF(INDEX(Checklists!$B:$B,$K10)="","",INDEX(Checklists!$B:$B,$K10)))</f>
        <v/>
      </c>
      <c r="D10" s="11" t="str">
        <f aca="false">IF($K10="","",IF(INDEX(Checklists!$E:$E,$K10)="","",INDEX(Checklists!$E:$E,$K10)))</f>
        <v/>
      </c>
      <c r="E10" s="11" t="str">
        <f aca="false">IF($K10="","",IF(INDEX(Checklists!$H:$H,$K10)="","",INDEX(Checklists!$H:$H,$K10)))</f>
        <v/>
      </c>
      <c r="F10" s="11" t="str">
        <f aca="false">IF($K10="","",IF(INDEX(Checklists!$I:$I,$K10)="","",INDEX(Checklists!$I:$I,$K10)))</f>
        <v/>
      </c>
      <c r="G10" s="13" t="str">
        <f aca="false">IF($K10="","",IF(INDEX(Checklists!$J:$J,$K10)="","",INDEX(Checklists!$J:$J,$K10)))</f>
        <v/>
      </c>
      <c r="H10" s="26" t="str">
        <f aca="false">IF($K10="","",IF(INDEX(Checklists!$K:$K,$K10)="","",INDEX(Checklists!$K:$K,$K10)))</f>
        <v/>
      </c>
      <c r="I10" s="13" t="str">
        <f aca="false">IF($K10="","",IF(INDEX(Checklists!$L:$L,$K10)="","",INDEX(Checklists!$L:$L,$K10)))</f>
        <v/>
      </c>
      <c r="K10" s="1" t="str">
        <f aca="false">IFERROR(MATCH(ROWS($K$4:$K10),Checklists!$N$2:$N$291,0)+1,"")</f>
        <v/>
      </c>
      <c r="M10" s="27" t="s">
        <v>507</v>
      </c>
      <c r="N10" s="13" t="n">
        <f aca="false">COUNTIFS(Checklists!$B:$B,$M10,Checklists!$G:$G,"Não Conforme")</f>
        <v>0</v>
      </c>
      <c r="P10" s="27" t="s">
        <v>819</v>
      </c>
      <c r="Q10" s="13" t="n">
        <f aca="false">COUNTIFS(Checklists!$G:$G,"Não Conforme",Checklists!$I:$I,"&lt;&gt;")</f>
        <v>0</v>
      </c>
    </row>
    <row r="11" customFormat="false" ht="15" hidden="false" customHeight="true" outlineLevel="0" collapsed="false">
      <c r="A11" s="13" t="str">
        <f aca="false">IF($K11="","",ROWS($K$4:$K11))</f>
        <v/>
      </c>
      <c r="B11" s="13" t="str">
        <f aca="false">IF($K11="","",IF(INDEX(Checklists!$A:$A,$K11)="","",INDEX(Checklists!$A:$A,$K11)))</f>
        <v/>
      </c>
      <c r="C11" s="13" t="str">
        <f aca="false">IF($K11="","",IF(INDEX(Checklists!$B:$B,$K11)="","",INDEX(Checklists!$B:$B,$K11)))</f>
        <v/>
      </c>
      <c r="D11" s="11" t="str">
        <f aca="false">IF($K11="","",IF(INDEX(Checklists!$E:$E,$K11)="","",INDEX(Checklists!$E:$E,$K11)))</f>
        <v/>
      </c>
      <c r="E11" s="11" t="str">
        <f aca="false">IF($K11="","",IF(INDEX(Checklists!$H:$H,$K11)="","",INDEX(Checklists!$H:$H,$K11)))</f>
        <v/>
      </c>
      <c r="F11" s="11" t="str">
        <f aca="false">IF($K11="","",IF(INDEX(Checklists!$I:$I,$K11)="","",INDEX(Checklists!$I:$I,$K11)))</f>
        <v/>
      </c>
      <c r="G11" s="13" t="str">
        <f aca="false">IF($K11="","",IF(INDEX(Checklists!$J:$J,$K11)="","",INDEX(Checklists!$J:$J,$K11)))</f>
        <v/>
      </c>
      <c r="H11" s="26" t="str">
        <f aca="false">IF($K11="","",IF(INDEX(Checklists!$K:$K,$K11)="","",INDEX(Checklists!$K:$K,$K11)))</f>
        <v/>
      </c>
      <c r="I11" s="13" t="str">
        <f aca="false">IF($K11="","",IF(INDEX(Checklists!$L:$L,$K11)="","",INDEX(Checklists!$L:$L,$K11)))</f>
        <v/>
      </c>
      <c r="K11" s="1" t="str">
        <f aca="false">IFERROR(MATCH(ROWS($K$4:$K11),Checklists!$N$2:$N$291,0)+1,"")</f>
        <v/>
      </c>
      <c r="M11" s="27" t="s">
        <v>530</v>
      </c>
      <c r="N11" s="13" t="n">
        <f aca="false">COUNTIFS(Checklists!$B:$B,$M11,Checklists!$G:$G,"Não Conforme")</f>
        <v>0</v>
      </c>
    </row>
    <row r="12" customFormat="false" ht="15" hidden="false" customHeight="true" outlineLevel="0" collapsed="false">
      <c r="A12" s="13" t="str">
        <f aca="false">IF($K12="","",ROWS($K$4:$K12))</f>
        <v/>
      </c>
      <c r="B12" s="13" t="str">
        <f aca="false">IF($K12="","",IF(INDEX(Checklists!$A:$A,$K12)="","",INDEX(Checklists!$A:$A,$K12)))</f>
        <v/>
      </c>
      <c r="C12" s="13" t="str">
        <f aca="false">IF($K12="","",IF(INDEX(Checklists!$B:$B,$K12)="","",INDEX(Checklists!$B:$B,$K12)))</f>
        <v/>
      </c>
      <c r="D12" s="11" t="str">
        <f aca="false">IF($K12="","",IF(INDEX(Checklists!$E:$E,$K12)="","",INDEX(Checklists!$E:$E,$K12)))</f>
        <v/>
      </c>
      <c r="E12" s="11" t="str">
        <f aca="false">IF($K12="","",IF(INDEX(Checklists!$H:$H,$K12)="","",INDEX(Checklists!$H:$H,$K12)))</f>
        <v/>
      </c>
      <c r="F12" s="11" t="str">
        <f aca="false">IF($K12="","",IF(INDEX(Checklists!$I:$I,$K12)="","",INDEX(Checklists!$I:$I,$K12)))</f>
        <v/>
      </c>
      <c r="G12" s="13" t="str">
        <f aca="false">IF($K12="","",IF(INDEX(Checklists!$J:$J,$K12)="","",INDEX(Checklists!$J:$J,$K12)))</f>
        <v/>
      </c>
      <c r="H12" s="26" t="str">
        <f aca="false">IF($K12="","",IF(INDEX(Checklists!$K:$K,$K12)="","",INDEX(Checklists!$K:$K,$K12)))</f>
        <v/>
      </c>
      <c r="I12" s="13" t="str">
        <f aca="false">IF($K12="","",IF(INDEX(Checklists!$L:$L,$K12)="","",INDEX(Checklists!$L:$L,$K12)))</f>
        <v/>
      </c>
      <c r="K12" s="1" t="str">
        <f aca="false">IFERROR(MATCH(ROWS($K$4:$K12),Checklists!$N$2:$N$291,0)+1,"")</f>
        <v/>
      </c>
      <c r="M12" s="27" t="s">
        <v>553</v>
      </c>
      <c r="N12" s="13" t="n">
        <f aca="false">COUNTIFS(Checklists!$B:$B,$M12,Checklists!$G:$G,"Não Conforme")</f>
        <v>0</v>
      </c>
    </row>
    <row r="13" customFormat="false" ht="15" hidden="false" customHeight="true" outlineLevel="0" collapsed="false">
      <c r="A13" s="13" t="str">
        <f aca="false">IF($K13="","",ROWS($K$4:$K13))</f>
        <v/>
      </c>
      <c r="B13" s="13" t="str">
        <f aca="false">IF($K13="","",IF(INDEX(Checklists!$A:$A,$K13)="","",INDEX(Checklists!$A:$A,$K13)))</f>
        <v/>
      </c>
      <c r="C13" s="13" t="str">
        <f aca="false">IF($K13="","",IF(INDEX(Checklists!$B:$B,$K13)="","",INDEX(Checklists!$B:$B,$K13)))</f>
        <v/>
      </c>
      <c r="D13" s="11" t="str">
        <f aca="false">IF($K13="","",IF(INDEX(Checklists!$E:$E,$K13)="","",INDEX(Checklists!$E:$E,$K13)))</f>
        <v/>
      </c>
      <c r="E13" s="11" t="str">
        <f aca="false">IF($K13="","",IF(INDEX(Checklists!$H:$H,$K13)="","",INDEX(Checklists!$H:$H,$K13)))</f>
        <v/>
      </c>
      <c r="F13" s="11" t="str">
        <f aca="false">IF($K13="","",IF(INDEX(Checklists!$I:$I,$K13)="","",INDEX(Checklists!$I:$I,$K13)))</f>
        <v/>
      </c>
      <c r="G13" s="13" t="str">
        <f aca="false">IF($K13="","",IF(INDEX(Checklists!$J:$J,$K13)="","",INDEX(Checklists!$J:$J,$K13)))</f>
        <v/>
      </c>
      <c r="H13" s="26" t="str">
        <f aca="false">IF($K13="","",IF(INDEX(Checklists!$K:$K,$K13)="","",INDEX(Checklists!$K:$K,$K13)))</f>
        <v/>
      </c>
      <c r="I13" s="13" t="str">
        <f aca="false">IF($K13="","",IF(INDEX(Checklists!$L:$L,$K13)="","",INDEX(Checklists!$L:$L,$K13)))</f>
        <v/>
      </c>
      <c r="K13" s="1" t="str">
        <f aca="false">IFERROR(MATCH(ROWS($K$4:$K13),Checklists!$N$2:$N$291,0)+1,"")</f>
        <v/>
      </c>
      <c r="M13" s="27" t="s">
        <v>578</v>
      </c>
      <c r="N13" s="13" t="n">
        <f aca="false">COUNTIFS(Checklists!$B:$B,$M13,Checklists!$G:$G,"Não Conforme")</f>
        <v>0</v>
      </c>
    </row>
    <row r="14" customFormat="false" ht="15" hidden="false" customHeight="true" outlineLevel="0" collapsed="false">
      <c r="A14" s="13" t="str">
        <f aca="false">IF($K14="","",ROWS($K$4:$K14))</f>
        <v/>
      </c>
      <c r="B14" s="13" t="str">
        <f aca="false">IF($K14="","",IF(INDEX(Checklists!$A:$A,$K14)="","",INDEX(Checklists!$A:$A,$K14)))</f>
        <v/>
      </c>
      <c r="C14" s="13" t="str">
        <f aca="false">IF($K14="","",IF(INDEX(Checklists!$B:$B,$K14)="","",INDEX(Checklists!$B:$B,$K14)))</f>
        <v/>
      </c>
      <c r="D14" s="11" t="str">
        <f aca="false">IF($K14="","",IF(INDEX(Checklists!$E:$E,$K14)="","",INDEX(Checklists!$E:$E,$K14)))</f>
        <v/>
      </c>
      <c r="E14" s="11" t="str">
        <f aca="false">IF($K14="","",IF(INDEX(Checklists!$H:$H,$K14)="","",INDEX(Checklists!$H:$H,$K14)))</f>
        <v/>
      </c>
      <c r="F14" s="11" t="str">
        <f aca="false">IF($K14="","",IF(INDEX(Checklists!$I:$I,$K14)="","",INDEX(Checklists!$I:$I,$K14)))</f>
        <v/>
      </c>
      <c r="G14" s="13" t="str">
        <f aca="false">IF($K14="","",IF(INDEX(Checklists!$J:$J,$K14)="","",INDEX(Checklists!$J:$J,$K14)))</f>
        <v/>
      </c>
      <c r="H14" s="26" t="str">
        <f aca="false">IF($K14="","",IF(INDEX(Checklists!$K:$K,$K14)="","",INDEX(Checklists!$K:$K,$K14)))</f>
        <v/>
      </c>
      <c r="I14" s="13" t="str">
        <f aca="false">IF($K14="","",IF(INDEX(Checklists!$L:$L,$K14)="","",INDEX(Checklists!$L:$L,$K14)))</f>
        <v/>
      </c>
      <c r="K14" s="1" t="str">
        <f aca="false">IFERROR(MATCH(ROWS($K$4:$K14),Checklists!$N$2:$N$291,0)+1,"")</f>
        <v/>
      </c>
      <c r="M14" s="27" t="s">
        <v>599</v>
      </c>
      <c r="N14" s="13" t="n">
        <f aca="false">COUNTIFS(Checklists!$B:$B,$M14,Checklists!$G:$G,"Não Conforme")</f>
        <v>0</v>
      </c>
    </row>
    <row r="15" customFormat="false" ht="15" hidden="false" customHeight="true" outlineLevel="0" collapsed="false">
      <c r="A15" s="13" t="str">
        <f aca="false">IF($K15="","",ROWS($K$4:$K15))</f>
        <v/>
      </c>
      <c r="B15" s="13" t="str">
        <f aca="false">IF($K15="","",IF(INDEX(Checklists!$A:$A,$K15)="","",INDEX(Checklists!$A:$A,$K15)))</f>
        <v/>
      </c>
      <c r="C15" s="13" t="str">
        <f aca="false">IF($K15="","",IF(INDEX(Checklists!$B:$B,$K15)="","",INDEX(Checklists!$B:$B,$K15)))</f>
        <v/>
      </c>
      <c r="D15" s="11" t="str">
        <f aca="false">IF($K15="","",IF(INDEX(Checklists!$E:$E,$K15)="","",INDEX(Checklists!$E:$E,$K15)))</f>
        <v/>
      </c>
      <c r="E15" s="11" t="str">
        <f aca="false">IF($K15="","",IF(INDEX(Checklists!$H:$H,$K15)="","",INDEX(Checklists!$H:$H,$K15)))</f>
        <v/>
      </c>
      <c r="F15" s="11" t="str">
        <f aca="false">IF($K15="","",IF(INDEX(Checklists!$I:$I,$K15)="","",INDEX(Checklists!$I:$I,$K15)))</f>
        <v/>
      </c>
      <c r="G15" s="13" t="str">
        <f aca="false">IF($K15="","",IF(INDEX(Checklists!$J:$J,$K15)="","",INDEX(Checklists!$J:$J,$K15)))</f>
        <v/>
      </c>
      <c r="H15" s="26" t="str">
        <f aca="false">IF($K15="","",IF(INDEX(Checklists!$K:$K,$K15)="","",INDEX(Checklists!$K:$K,$K15)))</f>
        <v/>
      </c>
      <c r="I15" s="13" t="str">
        <f aca="false">IF($K15="","",IF(INDEX(Checklists!$L:$L,$K15)="","",INDEX(Checklists!$L:$L,$K15)))</f>
        <v/>
      </c>
      <c r="K15" s="1" t="str">
        <f aca="false">IFERROR(MATCH(ROWS($K$4:$K15),Checklists!$N$2:$N$291,0)+1,"")</f>
        <v/>
      </c>
    </row>
    <row r="16" customFormat="false" ht="15" hidden="false" customHeight="true" outlineLevel="0" collapsed="false">
      <c r="A16" s="13" t="str">
        <f aca="false">IF($K16="","",ROWS($K$4:$K16))</f>
        <v/>
      </c>
      <c r="B16" s="13" t="str">
        <f aca="false">IF($K16="","",IF(INDEX(Checklists!$A:$A,$K16)="","",INDEX(Checklists!$A:$A,$K16)))</f>
        <v/>
      </c>
      <c r="C16" s="13" t="str">
        <f aca="false">IF($K16="","",IF(INDEX(Checklists!$B:$B,$K16)="","",INDEX(Checklists!$B:$B,$K16)))</f>
        <v/>
      </c>
      <c r="D16" s="11" t="str">
        <f aca="false">IF($K16="","",IF(INDEX(Checklists!$E:$E,$K16)="","",INDEX(Checklists!$E:$E,$K16)))</f>
        <v/>
      </c>
      <c r="E16" s="11" t="str">
        <f aca="false">IF($K16="","",IF(INDEX(Checklists!$H:$H,$K16)="","",INDEX(Checklists!$H:$H,$K16)))</f>
        <v/>
      </c>
      <c r="F16" s="11" t="str">
        <f aca="false">IF($K16="","",IF(INDEX(Checklists!$I:$I,$K16)="","",INDEX(Checklists!$I:$I,$K16)))</f>
        <v/>
      </c>
      <c r="G16" s="13" t="str">
        <f aca="false">IF($K16="","",IF(INDEX(Checklists!$J:$J,$K16)="","",INDEX(Checklists!$J:$J,$K16)))</f>
        <v/>
      </c>
      <c r="H16" s="26" t="str">
        <f aca="false">IF($K16="","",IF(INDEX(Checklists!$K:$K,$K16)="","",INDEX(Checklists!$K:$K,$K16)))</f>
        <v/>
      </c>
      <c r="I16" s="13" t="str">
        <f aca="false">IF($K16="","",IF(INDEX(Checklists!$L:$L,$K16)="","",INDEX(Checklists!$L:$L,$K16)))</f>
        <v/>
      </c>
      <c r="K16" s="1" t="str">
        <f aca="false">IFERROR(MATCH(ROWS($K$4:$K16),Checklists!$N$2:$N$291,0)+1,"")</f>
        <v/>
      </c>
    </row>
    <row r="17" customFormat="false" ht="15" hidden="false" customHeight="true" outlineLevel="0" collapsed="false">
      <c r="A17" s="13" t="str">
        <f aca="false">IF($K17="","",ROWS($K$4:$K17))</f>
        <v/>
      </c>
      <c r="B17" s="13" t="str">
        <f aca="false">IF($K17="","",IF(INDEX(Checklists!$A:$A,$K17)="","",INDEX(Checklists!$A:$A,$K17)))</f>
        <v/>
      </c>
      <c r="C17" s="13" t="str">
        <f aca="false">IF($K17="","",IF(INDEX(Checklists!$B:$B,$K17)="","",INDEX(Checklists!$B:$B,$K17)))</f>
        <v/>
      </c>
      <c r="D17" s="11" t="str">
        <f aca="false">IF($K17="","",IF(INDEX(Checklists!$E:$E,$K17)="","",INDEX(Checklists!$E:$E,$K17)))</f>
        <v/>
      </c>
      <c r="E17" s="11" t="str">
        <f aca="false">IF($K17="","",IF(INDEX(Checklists!$H:$H,$K17)="","",INDEX(Checklists!$H:$H,$K17)))</f>
        <v/>
      </c>
      <c r="F17" s="11" t="str">
        <f aca="false">IF($K17="","",IF(INDEX(Checklists!$I:$I,$K17)="","",INDEX(Checklists!$I:$I,$K17)))</f>
        <v/>
      </c>
      <c r="G17" s="13" t="str">
        <f aca="false">IF($K17="","",IF(INDEX(Checklists!$J:$J,$K17)="","",INDEX(Checklists!$J:$J,$K17)))</f>
        <v/>
      </c>
      <c r="H17" s="26" t="str">
        <f aca="false">IF($K17="","",IF(INDEX(Checklists!$K:$K,$K17)="","",INDEX(Checklists!$K:$K,$K17)))</f>
        <v/>
      </c>
      <c r="I17" s="13" t="str">
        <f aca="false">IF($K17="","",IF(INDEX(Checklists!$L:$L,$K17)="","",INDEX(Checklists!$L:$L,$K17)))</f>
        <v/>
      </c>
      <c r="K17" s="1" t="str">
        <f aca="false">IFERROR(MATCH(ROWS($K$4:$K17),Checklists!$N$2:$N$291,0)+1,"")</f>
        <v/>
      </c>
      <c r="M17" s="4" t="s">
        <v>820</v>
      </c>
    </row>
    <row r="18" customFormat="false" ht="15" hidden="false" customHeight="true" outlineLevel="0" collapsed="false">
      <c r="A18" s="13" t="str">
        <f aca="false">IF($K18="","",ROWS($K$4:$K18))</f>
        <v/>
      </c>
      <c r="B18" s="13" t="str">
        <f aca="false">IF($K18="","",IF(INDEX(Checklists!$A:$A,$K18)="","",INDEX(Checklists!$A:$A,$K18)))</f>
        <v/>
      </c>
      <c r="C18" s="13" t="str">
        <f aca="false">IF($K18="","",IF(INDEX(Checklists!$B:$B,$K18)="","",INDEX(Checklists!$B:$B,$K18)))</f>
        <v/>
      </c>
      <c r="D18" s="11" t="str">
        <f aca="false">IF($K18="","",IF(INDEX(Checklists!$E:$E,$K18)="","",INDEX(Checklists!$E:$E,$K18)))</f>
        <v/>
      </c>
      <c r="E18" s="11" t="str">
        <f aca="false">IF($K18="","",IF(INDEX(Checklists!$H:$H,$K18)="","",INDEX(Checklists!$H:$H,$K18)))</f>
        <v/>
      </c>
      <c r="F18" s="11" t="str">
        <f aca="false">IF($K18="","",IF(INDEX(Checklists!$I:$I,$K18)="","",INDEX(Checklists!$I:$I,$K18)))</f>
        <v/>
      </c>
      <c r="G18" s="13" t="str">
        <f aca="false">IF($K18="","",IF(INDEX(Checklists!$J:$J,$K18)="","",INDEX(Checklists!$J:$J,$K18)))</f>
        <v/>
      </c>
      <c r="H18" s="26" t="str">
        <f aca="false">IF($K18="","",IF(INDEX(Checklists!$K:$K,$K18)="","",INDEX(Checklists!$K:$K,$K18)))</f>
        <v/>
      </c>
      <c r="I18" s="13" t="str">
        <f aca="false">IF($K18="","",IF(INDEX(Checklists!$L:$L,$K18)="","",INDEX(Checklists!$L:$L,$K18)))</f>
        <v/>
      </c>
      <c r="K18" s="1" t="str">
        <f aca="false">IFERROR(MATCH(ROWS($K$4:$K18),Checklists!$N$2:$N$291,0)+1,"")</f>
        <v/>
      </c>
      <c r="M18" s="18" t="s">
        <v>18</v>
      </c>
      <c r="N18" s="18" t="s">
        <v>821</v>
      </c>
      <c r="O18" s="18" t="s">
        <v>822</v>
      </c>
      <c r="P18" s="18" t="s">
        <v>823</v>
      </c>
    </row>
    <row r="19" customFormat="false" ht="15" hidden="false" customHeight="true" outlineLevel="0" collapsed="false">
      <c r="A19" s="13" t="str">
        <f aca="false">IF($K19="","",ROWS($K$4:$K19))</f>
        <v/>
      </c>
      <c r="B19" s="13" t="str">
        <f aca="false">IF($K19="","",IF(INDEX(Checklists!$A:$A,$K19)="","",INDEX(Checklists!$A:$A,$K19)))</f>
        <v/>
      </c>
      <c r="C19" s="13" t="str">
        <f aca="false">IF($K19="","",IF(INDEX(Checklists!$B:$B,$K19)="","",INDEX(Checklists!$B:$B,$K19)))</f>
        <v/>
      </c>
      <c r="D19" s="11" t="str">
        <f aca="false">IF($K19="","",IF(INDEX(Checklists!$E:$E,$K19)="","",INDEX(Checklists!$E:$E,$K19)))</f>
        <v/>
      </c>
      <c r="E19" s="11" t="str">
        <f aca="false">IF($K19="","",IF(INDEX(Checklists!$H:$H,$K19)="","",INDEX(Checklists!$H:$H,$K19)))</f>
        <v/>
      </c>
      <c r="F19" s="11" t="str">
        <f aca="false">IF($K19="","",IF(INDEX(Checklists!$I:$I,$K19)="","",INDEX(Checklists!$I:$I,$K19)))</f>
        <v/>
      </c>
      <c r="G19" s="13" t="str">
        <f aca="false">IF($K19="","",IF(INDEX(Checklists!$J:$J,$K19)="","",INDEX(Checklists!$J:$J,$K19)))</f>
        <v/>
      </c>
      <c r="H19" s="26" t="str">
        <f aca="false">IF($K19="","",IF(INDEX(Checklists!$K:$K,$K19)="","",INDEX(Checklists!$K:$K,$K19)))</f>
        <v/>
      </c>
      <c r="I19" s="13" t="str">
        <f aca="false">IF($K19="","",IF(INDEX(Checklists!$L:$L,$K19)="","",INDEX(Checklists!$L:$L,$K19)))</f>
        <v/>
      </c>
      <c r="K19" s="1" t="str">
        <f aca="false">IFERROR(MATCH(ROWS($K$4:$K19),Checklists!$N$2:$N$291,0)+1,"")</f>
        <v/>
      </c>
      <c r="M19" s="27" t="s">
        <v>31</v>
      </c>
      <c r="N19" s="13" t="n">
        <f aca="false">COUNTIFS(Checklists!$B:$B,$M19,Checklists!$G:$G,"Conforme")</f>
        <v>0</v>
      </c>
      <c r="O19" s="13" t="n">
        <f aca="false">COUNTIFS(Checklists!$B:$B,$M19,Checklists!$G:$G,"Não Conforme")</f>
        <v>0</v>
      </c>
      <c r="P19" s="30" t="str">
        <f aca="false">IF($N19+$O19=0,"",$N19/($N19+$O19))</f>
        <v/>
      </c>
    </row>
    <row r="20" customFormat="false" ht="15" hidden="false" customHeight="true" outlineLevel="0" collapsed="false">
      <c r="A20" s="13" t="str">
        <f aca="false">IF($K20="","",ROWS($K$4:$K20))</f>
        <v/>
      </c>
      <c r="B20" s="13" t="str">
        <f aca="false">IF($K20="","",IF(INDEX(Checklists!$A:$A,$K20)="","",INDEX(Checklists!$A:$A,$K20)))</f>
        <v/>
      </c>
      <c r="C20" s="13" t="str">
        <f aca="false">IF($K20="","",IF(INDEX(Checklists!$B:$B,$K20)="","",INDEX(Checklists!$B:$B,$K20)))</f>
        <v/>
      </c>
      <c r="D20" s="11" t="str">
        <f aca="false">IF($K20="","",IF(INDEX(Checklists!$E:$E,$K20)="","",INDEX(Checklists!$E:$E,$K20)))</f>
        <v/>
      </c>
      <c r="E20" s="11" t="str">
        <f aca="false">IF($K20="","",IF(INDEX(Checklists!$H:$H,$K20)="","",INDEX(Checklists!$H:$H,$K20)))</f>
        <v/>
      </c>
      <c r="F20" s="11" t="str">
        <f aca="false">IF($K20="","",IF(INDEX(Checklists!$I:$I,$K20)="","",INDEX(Checklists!$I:$I,$K20)))</f>
        <v/>
      </c>
      <c r="G20" s="13" t="str">
        <f aca="false">IF($K20="","",IF(INDEX(Checklists!$J:$J,$K20)="","",INDEX(Checklists!$J:$J,$K20)))</f>
        <v/>
      </c>
      <c r="H20" s="26" t="str">
        <f aca="false">IF($K20="","",IF(INDEX(Checklists!$K:$K,$K20)="","",INDEX(Checklists!$K:$K,$K20)))</f>
        <v/>
      </c>
      <c r="I20" s="13" t="str">
        <f aca="false">IF($K20="","",IF(INDEX(Checklists!$L:$L,$K20)="","",INDEX(Checklists!$L:$L,$K20)))</f>
        <v/>
      </c>
      <c r="K20" s="1" t="str">
        <f aca="false">IFERROR(MATCH(ROWS($K$4:$K20),Checklists!$N$2:$N$291,0)+1,"")</f>
        <v/>
      </c>
      <c r="M20" s="27" t="s">
        <v>366</v>
      </c>
      <c r="N20" s="13" t="n">
        <f aca="false">COUNTIFS(Checklists!$B:$B,$M20,Checklists!$G:$G,"Conforme")</f>
        <v>0</v>
      </c>
      <c r="O20" s="13" t="n">
        <f aca="false">COUNTIFS(Checklists!$B:$B,$M20,Checklists!$G:$G,"Não Conforme")</f>
        <v>0</v>
      </c>
      <c r="P20" s="30" t="str">
        <f aca="false">IF($N20+$O20=0,"",$N20/($N20+$O20))</f>
        <v/>
      </c>
    </row>
    <row r="21" customFormat="false" ht="15" hidden="false" customHeight="true" outlineLevel="0" collapsed="false">
      <c r="A21" s="13" t="str">
        <f aca="false">IF($K21="","",ROWS($K$4:$K21))</f>
        <v/>
      </c>
      <c r="B21" s="13" t="str">
        <f aca="false">IF($K21="","",IF(INDEX(Checklists!$A:$A,$K21)="","",INDEX(Checklists!$A:$A,$K21)))</f>
        <v/>
      </c>
      <c r="C21" s="13" t="str">
        <f aca="false">IF($K21="","",IF(INDEX(Checklists!$B:$B,$K21)="","",INDEX(Checklists!$B:$B,$K21)))</f>
        <v/>
      </c>
      <c r="D21" s="11" t="str">
        <f aca="false">IF($K21="","",IF(INDEX(Checklists!$E:$E,$K21)="","",INDEX(Checklists!$E:$E,$K21)))</f>
        <v/>
      </c>
      <c r="E21" s="11" t="str">
        <f aca="false">IF($K21="","",IF(INDEX(Checklists!$H:$H,$K21)="","",INDEX(Checklists!$H:$H,$K21)))</f>
        <v/>
      </c>
      <c r="F21" s="11" t="str">
        <f aca="false">IF($K21="","",IF(INDEX(Checklists!$I:$I,$K21)="","",INDEX(Checklists!$I:$I,$K21)))</f>
        <v/>
      </c>
      <c r="G21" s="13" t="str">
        <f aca="false">IF($K21="","",IF(INDEX(Checklists!$J:$J,$K21)="","",INDEX(Checklists!$J:$J,$K21)))</f>
        <v/>
      </c>
      <c r="H21" s="26" t="str">
        <f aca="false">IF($K21="","",IF(INDEX(Checklists!$K:$K,$K21)="","",INDEX(Checklists!$K:$K,$K21)))</f>
        <v/>
      </c>
      <c r="I21" s="13" t="str">
        <f aca="false">IF($K21="","",IF(INDEX(Checklists!$L:$L,$K21)="","",INDEX(Checklists!$L:$L,$K21)))</f>
        <v/>
      </c>
      <c r="K21" s="1" t="str">
        <f aca="false">IFERROR(MATCH(ROWS($K$4:$K21),Checklists!$N$2:$N$291,0)+1,"")</f>
        <v/>
      </c>
      <c r="M21" s="27" t="s">
        <v>423</v>
      </c>
      <c r="N21" s="13" t="n">
        <f aca="false">COUNTIFS(Checklists!$B:$B,$M21,Checklists!$G:$G,"Conforme")</f>
        <v>0</v>
      </c>
      <c r="O21" s="13" t="n">
        <f aca="false">COUNTIFS(Checklists!$B:$B,$M21,Checklists!$G:$G,"Não Conforme")</f>
        <v>0</v>
      </c>
      <c r="P21" s="30" t="str">
        <f aca="false">IF($N21+$O21=0,"",$N21/($N21+$O21))</f>
        <v/>
      </c>
    </row>
    <row r="22" customFormat="false" ht="15" hidden="false" customHeight="true" outlineLevel="0" collapsed="false">
      <c r="A22" s="13" t="str">
        <f aca="false">IF($K22="","",ROWS($K$4:$K22))</f>
        <v/>
      </c>
      <c r="B22" s="13" t="str">
        <f aca="false">IF($K22="","",IF(INDEX(Checklists!$A:$A,$K22)="","",INDEX(Checklists!$A:$A,$K22)))</f>
        <v/>
      </c>
      <c r="C22" s="13" t="str">
        <f aca="false">IF($K22="","",IF(INDEX(Checklists!$B:$B,$K22)="","",INDEX(Checklists!$B:$B,$K22)))</f>
        <v/>
      </c>
      <c r="D22" s="11" t="str">
        <f aca="false">IF($K22="","",IF(INDEX(Checklists!$E:$E,$K22)="","",INDEX(Checklists!$E:$E,$K22)))</f>
        <v/>
      </c>
      <c r="E22" s="11" t="str">
        <f aca="false">IF($K22="","",IF(INDEX(Checklists!$H:$H,$K22)="","",INDEX(Checklists!$H:$H,$K22)))</f>
        <v/>
      </c>
      <c r="F22" s="11" t="str">
        <f aca="false">IF($K22="","",IF(INDEX(Checklists!$I:$I,$K22)="","",INDEX(Checklists!$I:$I,$K22)))</f>
        <v/>
      </c>
      <c r="G22" s="13" t="str">
        <f aca="false">IF($K22="","",IF(INDEX(Checklists!$J:$J,$K22)="","",INDEX(Checklists!$J:$J,$K22)))</f>
        <v/>
      </c>
      <c r="H22" s="26" t="str">
        <f aca="false">IF($K22="","",IF(INDEX(Checklists!$K:$K,$K22)="","",INDEX(Checklists!$K:$K,$K22)))</f>
        <v/>
      </c>
      <c r="I22" s="13" t="str">
        <f aca="false">IF($K22="","",IF(INDEX(Checklists!$L:$L,$K22)="","",INDEX(Checklists!$L:$L,$K22)))</f>
        <v/>
      </c>
      <c r="K22" s="1" t="str">
        <f aca="false">IFERROR(MATCH(ROWS($K$4:$K22),Checklists!$N$2:$N$291,0)+1,"")</f>
        <v/>
      </c>
      <c r="M22" s="27" t="s">
        <v>458</v>
      </c>
      <c r="N22" s="13" t="n">
        <f aca="false">COUNTIFS(Checklists!$B:$B,$M22,Checklists!$G:$G,"Conforme")</f>
        <v>0</v>
      </c>
      <c r="O22" s="13" t="n">
        <f aca="false">COUNTIFS(Checklists!$B:$B,$M22,Checklists!$G:$G,"Não Conforme")</f>
        <v>0</v>
      </c>
      <c r="P22" s="30" t="str">
        <f aca="false">IF($N22+$O22=0,"",$N22/($N22+$O22))</f>
        <v/>
      </c>
    </row>
    <row r="23" customFormat="false" ht="15" hidden="false" customHeight="true" outlineLevel="0" collapsed="false">
      <c r="A23" s="13" t="str">
        <f aca="false">IF($K23="","",ROWS($K$4:$K23))</f>
        <v/>
      </c>
      <c r="B23" s="13" t="str">
        <f aca="false">IF($K23="","",IF(INDEX(Checklists!$A:$A,$K23)="","",INDEX(Checklists!$A:$A,$K23)))</f>
        <v/>
      </c>
      <c r="C23" s="13" t="str">
        <f aca="false">IF($K23="","",IF(INDEX(Checklists!$B:$B,$K23)="","",INDEX(Checklists!$B:$B,$K23)))</f>
        <v/>
      </c>
      <c r="D23" s="11" t="str">
        <f aca="false">IF($K23="","",IF(INDEX(Checklists!$E:$E,$K23)="","",INDEX(Checklists!$E:$E,$K23)))</f>
        <v/>
      </c>
      <c r="E23" s="11" t="str">
        <f aca="false">IF($K23="","",IF(INDEX(Checklists!$H:$H,$K23)="","",INDEX(Checklists!$H:$H,$K23)))</f>
        <v/>
      </c>
      <c r="F23" s="11" t="str">
        <f aca="false">IF($K23="","",IF(INDEX(Checklists!$I:$I,$K23)="","",INDEX(Checklists!$I:$I,$K23)))</f>
        <v/>
      </c>
      <c r="G23" s="13" t="str">
        <f aca="false">IF($K23="","",IF(INDEX(Checklists!$J:$J,$K23)="","",INDEX(Checklists!$J:$J,$K23)))</f>
        <v/>
      </c>
      <c r="H23" s="26" t="str">
        <f aca="false">IF($K23="","",IF(INDEX(Checklists!$K:$K,$K23)="","",INDEX(Checklists!$K:$K,$K23)))</f>
        <v/>
      </c>
      <c r="I23" s="13" t="str">
        <f aca="false">IF($K23="","",IF(INDEX(Checklists!$L:$L,$K23)="","",INDEX(Checklists!$L:$L,$K23)))</f>
        <v/>
      </c>
      <c r="K23" s="1" t="str">
        <f aca="false">IFERROR(MATCH(ROWS($K$4:$K23),Checklists!$N$2:$N$291,0)+1,"")</f>
        <v/>
      </c>
      <c r="M23" s="27" t="s">
        <v>482</v>
      </c>
      <c r="N23" s="13" t="n">
        <f aca="false">COUNTIFS(Checklists!$B:$B,$M23,Checklists!$G:$G,"Conforme")</f>
        <v>0</v>
      </c>
      <c r="O23" s="13" t="n">
        <f aca="false">COUNTIFS(Checklists!$B:$B,$M23,Checklists!$G:$G,"Não Conforme")</f>
        <v>0</v>
      </c>
      <c r="P23" s="30" t="str">
        <f aca="false">IF($N23+$O23=0,"",$N23/($N23+$O23))</f>
        <v/>
      </c>
    </row>
    <row r="24" customFormat="false" ht="15" hidden="false" customHeight="true" outlineLevel="0" collapsed="false">
      <c r="A24" s="13" t="str">
        <f aca="false">IF($K24="","",ROWS($K$4:$K24))</f>
        <v/>
      </c>
      <c r="B24" s="13" t="str">
        <f aca="false">IF($K24="","",IF(INDEX(Checklists!$A:$A,$K24)="","",INDEX(Checklists!$A:$A,$K24)))</f>
        <v/>
      </c>
      <c r="C24" s="13" t="str">
        <f aca="false">IF($K24="","",IF(INDEX(Checklists!$B:$B,$K24)="","",INDEX(Checklists!$B:$B,$K24)))</f>
        <v/>
      </c>
      <c r="D24" s="11" t="str">
        <f aca="false">IF($K24="","",IF(INDEX(Checklists!$E:$E,$K24)="","",INDEX(Checklists!$E:$E,$K24)))</f>
        <v/>
      </c>
      <c r="E24" s="11" t="str">
        <f aca="false">IF($K24="","",IF(INDEX(Checklists!$H:$H,$K24)="","",INDEX(Checklists!$H:$H,$K24)))</f>
        <v/>
      </c>
      <c r="F24" s="11" t="str">
        <f aca="false">IF($K24="","",IF(INDEX(Checklists!$I:$I,$K24)="","",INDEX(Checklists!$I:$I,$K24)))</f>
        <v/>
      </c>
      <c r="G24" s="13" t="str">
        <f aca="false">IF($K24="","",IF(INDEX(Checklists!$J:$J,$K24)="","",INDEX(Checklists!$J:$J,$K24)))</f>
        <v/>
      </c>
      <c r="H24" s="26" t="str">
        <f aca="false">IF($K24="","",IF(INDEX(Checklists!$K:$K,$K24)="","",INDEX(Checklists!$K:$K,$K24)))</f>
        <v/>
      </c>
      <c r="I24" s="13" t="str">
        <f aca="false">IF($K24="","",IF(INDEX(Checklists!$L:$L,$K24)="","",INDEX(Checklists!$L:$L,$K24)))</f>
        <v/>
      </c>
      <c r="K24" s="1" t="str">
        <f aca="false">IFERROR(MATCH(ROWS($K$4:$K24),Checklists!$N$2:$N$291,0)+1,"")</f>
        <v/>
      </c>
      <c r="M24" s="27" t="s">
        <v>507</v>
      </c>
      <c r="N24" s="13" t="n">
        <f aca="false">COUNTIFS(Checklists!$B:$B,$M24,Checklists!$G:$G,"Conforme")</f>
        <v>0</v>
      </c>
      <c r="O24" s="13" t="n">
        <f aca="false">COUNTIFS(Checklists!$B:$B,$M24,Checklists!$G:$G,"Não Conforme")</f>
        <v>0</v>
      </c>
      <c r="P24" s="30" t="str">
        <f aca="false">IF($N24+$O24=0,"",$N24/($N24+$O24))</f>
        <v/>
      </c>
    </row>
    <row r="25" customFormat="false" ht="15" hidden="false" customHeight="true" outlineLevel="0" collapsed="false">
      <c r="A25" s="13" t="str">
        <f aca="false">IF($K25="","",ROWS($K$4:$K25))</f>
        <v/>
      </c>
      <c r="B25" s="13" t="str">
        <f aca="false">IF($K25="","",IF(INDEX(Checklists!$A:$A,$K25)="","",INDEX(Checklists!$A:$A,$K25)))</f>
        <v/>
      </c>
      <c r="C25" s="13" t="str">
        <f aca="false">IF($K25="","",IF(INDEX(Checklists!$B:$B,$K25)="","",INDEX(Checklists!$B:$B,$K25)))</f>
        <v/>
      </c>
      <c r="D25" s="11" t="str">
        <f aca="false">IF($K25="","",IF(INDEX(Checklists!$E:$E,$K25)="","",INDEX(Checklists!$E:$E,$K25)))</f>
        <v/>
      </c>
      <c r="E25" s="11" t="str">
        <f aca="false">IF($K25="","",IF(INDEX(Checklists!$H:$H,$K25)="","",INDEX(Checklists!$H:$H,$K25)))</f>
        <v/>
      </c>
      <c r="F25" s="11" t="str">
        <f aca="false">IF($K25="","",IF(INDEX(Checklists!$I:$I,$K25)="","",INDEX(Checklists!$I:$I,$K25)))</f>
        <v/>
      </c>
      <c r="G25" s="13" t="str">
        <f aca="false">IF($K25="","",IF(INDEX(Checklists!$J:$J,$K25)="","",INDEX(Checklists!$J:$J,$K25)))</f>
        <v/>
      </c>
      <c r="H25" s="26" t="str">
        <f aca="false">IF($K25="","",IF(INDEX(Checklists!$K:$K,$K25)="","",INDEX(Checklists!$K:$K,$K25)))</f>
        <v/>
      </c>
      <c r="I25" s="13" t="str">
        <f aca="false">IF($K25="","",IF(INDEX(Checklists!$L:$L,$K25)="","",INDEX(Checklists!$L:$L,$K25)))</f>
        <v/>
      </c>
      <c r="K25" s="1" t="str">
        <f aca="false">IFERROR(MATCH(ROWS($K$4:$K25),Checklists!$N$2:$N$291,0)+1,"")</f>
        <v/>
      </c>
      <c r="M25" s="27" t="s">
        <v>530</v>
      </c>
      <c r="N25" s="13" t="n">
        <f aca="false">COUNTIFS(Checklists!$B:$B,$M25,Checklists!$G:$G,"Conforme")</f>
        <v>0</v>
      </c>
      <c r="O25" s="13" t="n">
        <f aca="false">COUNTIFS(Checklists!$B:$B,$M25,Checklists!$G:$G,"Não Conforme")</f>
        <v>0</v>
      </c>
      <c r="P25" s="30" t="str">
        <f aca="false">IF($N25+$O25=0,"",$N25/($N25+$O25))</f>
        <v/>
      </c>
    </row>
    <row r="26" customFormat="false" ht="15" hidden="false" customHeight="true" outlineLevel="0" collapsed="false">
      <c r="A26" s="13" t="str">
        <f aca="false">IF($K26="","",ROWS($K$4:$K26))</f>
        <v/>
      </c>
      <c r="B26" s="13" t="str">
        <f aca="false">IF($K26="","",IF(INDEX(Checklists!$A:$A,$K26)="","",INDEX(Checklists!$A:$A,$K26)))</f>
        <v/>
      </c>
      <c r="C26" s="13" t="str">
        <f aca="false">IF($K26="","",IF(INDEX(Checklists!$B:$B,$K26)="","",INDEX(Checklists!$B:$B,$K26)))</f>
        <v/>
      </c>
      <c r="D26" s="11" t="str">
        <f aca="false">IF($K26="","",IF(INDEX(Checklists!$E:$E,$K26)="","",INDEX(Checklists!$E:$E,$K26)))</f>
        <v/>
      </c>
      <c r="E26" s="11" t="str">
        <f aca="false">IF($K26="","",IF(INDEX(Checklists!$H:$H,$K26)="","",INDEX(Checklists!$H:$H,$K26)))</f>
        <v/>
      </c>
      <c r="F26" s="11" t="str">
        <f aca="false">IF($K26="","",IF(INDEX(Checklists!$I:$I,$K26)="","",INDEX(Checklists!$I:$I,$K26)))</f>
        <v/>
      </c>
      <c r="G26" s="13" t="str">
        <f aca="false">IF($K26="","",IF(INDEX(Checklists!$J:$J,$K26)="","",INDEX(Checklists!$J:$J,$K26)))</f>
        <v/>
      </c>
      <c r="H26" s="26" t="str">
        <f aca="false">IF($K26="","",IF(INDEX(Checklists!$K:$K,$K26)="","",INDEX(Checklists!$K:$K,$K26)))</f>
        <v/>
      </c>
      <c r="I26" s="13" t="str">
        <f aca="false">IF($K26="","",IF(INDEX(Checklists!$L:$L,$K26)="","",INDEX(Checklists!$L:$L,$K26)))</f>
        <v/>
      </c>
      <c r="K26" s="1" t="str">
        <f aca="false">IFERROR(MATCH(ROWS($K$4:$K26),Checklists!$N$2:$N$291,0)+1,"")</f>
        <v/>
      </c>
      <c r="M26" s="27" t="s">
        <v>553</v>
      </c>
      <c r="N26" s="13" t="n">
        <f aca="false">COUNTIFS(Checklists!$B:$B,$M26,Checklists!$G:$G,"Conforme")</f>
        <v>0</v>
      </c>
      <c r="O26" s="13" t="n">
        <f aca="false">COUNTIFS(Checklists!$B:$B,$M26,Checklists!$G:$G,"Não Conforme")</f>
        <v>0</v>
      </c>
      <c r="P26" s="30" t="str">
        <f aca="false">IF($N26+$O26=0,"",$N26/($N26+$O26))</f>
        <v/>
      </c>
    </row>
    <row r="27" customFormat="false" ht="15" hidden="false" customHeight="true" outlineLevel="0" collapsed="false">
      <c r="A27" s="13" t="str">
        <f aca="false">IF($K27="","",ROWS($K$4:$K27))</f>
        <v/>
      </c>
      <c r="B27" s="13" t="str">
        <f aca="false">IF($K27="","",IF(INDEX(Checklists!$A:$A,$K27)="","",INDEX(Checklists!$A:$A,$K27)))</f>
        <v/>
      </c>
      <c r="C27" s="13" t="str">
        <f aca="false">IF($K27="","",IF(INDEX(Checklists!$B:$B,$K27)="","",INDEX(Checklists!$B:$B,$K27)))</f>
        <v/>
      </c>
      <c r="D27" s="11" t="str">
        <f aca="false">IF($K27="","",IF(INDEX(Checklists!$E:$E,$K27)="","",INDEX(Checklists!$E:$E,$K27)))</f>
        <v/>
      </c>
      <c r="E27" s="11" t="str">
        <f aca="false">IF($K27="","",IF(INDEX(Checklists!$H:$H,$K27)="","",INDEX(Checklists!$H:$H,$K27)))</f>
        <v/>
      </c>
      <c r="F27" s="11" t="str">
        <f aca="false">IF($K27="","",IF(INDEX(Checklists!$I:$I,$K27)="","",INDEX(Checklists!$I:$I,$K27)))</f>
        <v/>
      </c>
      <c r="G27" s="13" t="str">
        <f aca="false">IF($K27="","",IF(INDEX(Checklists!$J:$J,$K27)="","",INDEX(Checklists!$J:$J,$K27)))</f>
        <v/>
      </c>
      <c r="H27" s="26" t="str">
        <f aca="false">IF($K27="","",IF(INDEX(Checklists!$K:$K,$K27)="","",INDEX(Checklists!$K:$K,$K27)))</f>
        <v/>
      </c>
      <c r="I27" s="13" t="str">
        <f aca="false">IF($K27="","",IF(INDEX(Checklists!$L:$L,$K27)="","",INDEX(Checklists!$L:$L,$K27)))</f>
        <v/>
      </c>
      <c r="K27" s="1" t="str">
        <f aca="false">IFERROR(MATCH(ROWS($K$4:$K27),Checklists!$N$2:$N$291,0)+1,"")</f>
        <v/>
      </c>
      <c r="M27" s="27" t="s">
        <v>578</v>
      </c>
      <c r="N27" s="13" t="n">
        <f aca="false">COUNTIFS(Checklists!$B:$B,$M27,Checklists!$G:$G,"Conforme")</f>
        <v>0</v>
      </c>
      <c r="O27" s="13" t="n">
        <f aca="false">COUNTIFS(Checklists!$B:$B,$M27,Checklists!$G:$G,"Não Conforme")</f>
        <v>0</v>
      </c>
      <c r="P27" s="30" t="str">
        <f aca="false">IF($N27+$O27=0,"",$N27/($N27+$O27))</f>
        <v/>
      </c>
    </row>
    <row r="28" customFormat="false" ht="15" hidden="false" customHeight="true" outlineLevel="0" collapsed="false">
      <c r="A28" s="13" t="str">
        <f aca="false">IF($K28="","",ROWS($K$4:$K28))</f>
        <v/>
      </c>
      <c r="B28" s="13" t="str">
        <f aca="false">IF($K28="","",IF(INDEX(Checklists!$A:$A,$K28)="","",INDEX(Checklists!$A:$A,$K28)))</f>
        <v/>
      </c>
      <c r="C28" s="13" t="str">
        <f aca="false">IF($K28="","",IF(INDEX(Checklists!$B:$B,$K28)="","",INDEX(Checklists!$B:$B,$K28)))</f>
        <v/>
      </c>
      <c r="D28" s="11" t="str">
        <f aca="false">IF($K28="","",IF(INDEX(Checklists!$E:$E,$K28)="","",INDEX(Checklists!$E:$E,$K28)))</f>
        <v/>
      </c>
      <c r="E28" s="11" t="str">
        <f aca="false">IF($K28="","",IF(INDEX(Checklists!$H:$H,$K28)="","",INDEX(Checklists!$H:$H,$K28)))</f>
        <v/>
      </c>
      <c r="F28" s="11" t="str">
        <f aca="false">IF($K28="","",IF(INDEX(Checklists!$I:$I,$K28)="","",INDEX(Checklists!$I:$I,$K28)))</f>
        <v/>
      </c>
      <c r="G28" s="13" t="str">
        <f aca="false">IF($K28="","",IF(INDEX(Checklists!$J:$J,$K28)="","",INDEX(Checklists!$J:$J,$K28)))</f>
        <v/>
      </c>
      <c r="H28" s="26" t="str">
        <f aca="false">IF($K28="","",IF(INDEX(Checklists!$K:$K,$K28)="","",INDEX(Checklists!$K:$K,$K28)))</f>
        <v/>
      </c>
      <c r="I28" s="13" t="str">
        <f aca="false">IF($K28="","",IF(INDEX(Checklists!$L:$L,$K28)="","",INDEX(Checklists!$L:$L,$K28)))</f>
        <v/>
      </c>
      <c r="K28" s="1" t="str">
        <f aca="false">IFERROR(MATCH(ROWS($K$4:$K28),Checklists!$N$2:$N$291,0)+1,"")</f>
        <v/>
      </c>
      <c r="M28" s="27" t="s">
        <v>599</v>
      </c>
      <c r="N28" s="13" t="n">
        <f aca="false">COUNTIFS(Checklists!$B:$B,$M28,Checklists!$G:$G,"Conforme")</f>
        <v>0</v>
      </c>
      <c r="O28" s="13" t="n">
        <f aca="false">COUNTIFS(Checklists!$B:$B,$M28,Checklists!$G:$G,"Não Conforme")</f>
        <v>0</v>
      </c>
      <c r="P28" s="30" t="str">
        <f aca="false">IF($N28+$O28=0,"",$N28/($N28+$O28))</f>
        <v/>
      </c>
    </row>
    <row r="29" customFormat="false" ht="15" hidden="false" customHeight="true" outlineLevel="0" collapsed="false">
      <c r="A29" s="13" t="str">
        <f aca="false">IF($K29="","",ROWS($K$4:$K29))</f>
        <v/>
      </c>
      <c r="B29" s="13" t="str">
        <f aca="false">IF($K29="","",IF(INDEX(Checklists!$A:$A,$K29)="","",INDEX(Checklists!$A:$A,$K29)))</f>
        <v/>
      </c>
      <c r="C29" s="13" t="str">
        <f aca="false">IF($K29="","",IF(INDEX(Checklists!$B:$B,$K29)="","",INDEX(Checklists!$B:$B,$K29)))</f>
        <v/>
      </c>
      <c r="D29" s="11" t="str">
        <f aca="false">IF($K29="","",IF(INDEX(Checklists!$E:$E,$K29)="","",INDEX(Checklists!$E:$E,$K29)))</f>
        <v/>
      </c>
      <c r="E29" s="11" t="str">
        <f aca="false">IF($K29="","",IF(INDEX(Checklists!$H:$H,$K29)="","",INDEX(Checklists!$H:$H,$K29)))</f>
        <v/>
      </c>
      <c r="F29" s="11" t="str">
        <f aca="false">IF($K29="","",IF(INDEX(Checklists!$I:$I,$K29)="","",INDEX(Checklists!$I:$I,$K29)))</f>
        <v/>
      </c>
      <c r="G29" s="13" t="str">
        <f aca="false">IF($K29="","",IF(INDEX(Checklists!$J:$J,$K29)="","",INDEX(Checklists!$J:$J,$K29)))</f>
        <v/>
      </c>
      <c r="H29" s="26" t="str">
        <f aca="false">IF($K29="","",IF(INDEX(Checklists!$K:$K,$K29)="","",INDEX(Checklists!$K:$K,$K29)))</f>
        <v/>
      </c>
      <c r="I29" s="13" t="str">
        <f aca="false">IF($K29="","",IF(INDEX(Checklists!$L:$L,$K29)="","",INDEX(Checklists!$L:$L,$K29)))</f>
        <v/>
      </c>
      <c r="K29" s="1" t="str">
        <f aca="false">IFERROR(MATCH(ROWS($K$4:$K29),Checklists!$N$2:$N$291,0)+1,"")</f>
        <v/>
      </c>
    </row>
    <row r="30" customFormat="false" ht="15" hidden="false" customHeight="true" outlineLevel="0" collapsed="false">
      <c r="A30" s="13" t="str">
        <f aca="false">IF($K30="","",ROWS($K$4:$K30))</f>
        <v/>
      </c>
      <c r="B30" s="13" t="str">
        <f aca="false">IF($K30="","",IF(INDEX(Checklists!$A:$A,$K30)="","",INDEX(Checklists!$A:$A,$K30)))</f>
        <v/>
      </c>
      <c r="C30" s="13" t="str">
        <f aca="false">IF($K30="","",IF(INDEX(Checklists!$B:$B,$K30)="","",INDEX(Checklists!$B:$B,$K30)))</f>
        <v/>
      </c>
      <c r="D30" s="11" t="str">
        <f aca="false">IF($K30="","",IF(INDEX(Checklists!$E:$E,$K30)="","",INDEX(Checklists!$E:$E,$K30)))</f>
        <v/>
      </c>
      <c r="E30" s="11" t="str">
        <f aca="false">IF($K30="","",IF(INDEX(Checklists!$H:$H,$K30)="","",INDEX(Checklists!$H:$H,$K30)))</f>
        <v/>
      </c>
      <c r="F30" s="11" t="str">
        <f aca="false">IF($K30="","",IF(INDEX(Checklists!$I:$I,$K30)="","",INDEX(Checklists!$I:$I,$K30)))</f>
        <v/>
      </c>
      <c r="G30" s="13" t="str">
        <f aca="false">IF($K30="","",IF(INDEX(Checklists!$J:$J,$K30)="","",INDEX(Checklists!$J:$J,$K30)))</f>
        <v/>
      </c>
      <c r="H30" s="26" t="str">
        <f aca="false">IF($K30="","",IF(INDEX(Checklists!$K:$K,$K30)="","",INDEX(Checklists!$K:$K,$K30)))</f>
        <v/>
      </c>
      <c r="I30" s="13" t="str">
        <f aca="false">IF($K30="","",IF(INDEX(Checklists!$L:$L,$K30)="","",INDEX(Checklists!$L:$L,$K30)))</f>
        <v/>
      </c>
      <c r="K30" s="1" t="str">
        <f aca="false">IFERROR(MATCH(ROWS($K$4:$K30),Checklists!$N$2:$N$291,0)+1,"")</f>
        <v/>
      </c>
    </row>
    <row r="31" customFormat="false" ht="15" hidden="false" customHeight="true" outlineLevel="0" collapsed="false">
      <c r="A31" s="13" t="str">
        <f aca="false">IF($K31="","",ROWS($K$4:$K31))</f>
        <v/>
      </c>
      <c r="B31" s="13" t="str">
        <f aca="false">IF($K31="","",IF(INDEX(Checklists!$A:$A,$K31)="","",INDEX(Checklists!$A:$A,$K31)))</f>
        <v/>
      </c>
      <c r="C31" s="13" t="str">
        <f aca="false">IF($K31="","",IF(INDEX(Checklists!$B:$B,$K31)="","",INDEX(Checklists!$B:$B,$K31)))</f>
        <v/>
      </c>
      <c r="D31" s="11" t="str">
        <f aca="false">IF($K31="","",IF(INDEX(Checklists!$E:$E,$K31)="","",INDEX(Checklists!$E:$E,$K31)))</f>
        <v/>
      </c>
      <c r="E31" s="11" t="str">
        <f aca="false">IF($K31="","",IF(INDEX(Checklists!$H:$H,$K31)="","",INDEX(Checklists!$H:$H,$K31)))</f>
        <v/>
      </c>
      <c r="F31" s="11" t="str">
        <f aca="false">IF($K31="","",IF(INDEX(Checklists!$I:$I,$K31)="","",INDEX(Checklists!$I:$I,$K31)))</f>
        <v/>
      </c>
      <c r="G31" s="13" t="str">
        <f aca="false">IF($K31="","",IF(INDEX(Checklists!$J:$J,$K31)="","",INDEX(Checklists!$J:$J,$K31)))</f>
        <v/>
      </c>
      <c r="H31" s="26" t="str">
        <f aca="false">IF($K31="","",IF(INDEX(Checklists!$K:$K,$K31)="","",INDEX(Checklists!$K:$K,$K31)))</f>
        <v/>
      </c>
      <c r="I31" s="13" t="str">
        <f aca="false">IF($K31="","",IF(INDEX(Checklists!$L:$L,$K31)="","",INDEX(Checklists!$L:$L,$K31)))</f>
        <v/>
      </c>
      <c r="K31" s="1" t="str">
        <f aca="false">IFERROR(MATCH(ROWS($K$4:$K31),Checklists!$N$2:$N$291,0)+1,"")</f>
        <v/>
      </c>
      <c r="M31" s="31" t="s">
        <v>824</v>
      </c>
    </row>
    <row r="32" customFormat="false" ht="15" hidden="false" customHeight="true" outlineLevel="0" collapsed="false">
      <c r="A32" s="13" t="str">
        <f aca="false">IF($K32="","",ROWS($K$4:$K32))</f>
        <v/>
      </c>
      <c r="B32" s="13" t="str">
        <f aca="false">IF($K32="","",IF(INDEX(Checklists!$A:$A,$K32)="","",INDEX(Checklists!$A:$A,$K32)))</f>
        <v/>
      </c>
      <c r="C32" s="13" t="str">
        <f aca="false">IF($K32="","",IF(INDEX(Checklists!$B:$B,$K32)="","",INDEX(Checklists!$B:$B,$K32)))</f>
        <v/>
      </c>
      <c r="D32" s="11" t="str">
        <f aca="false">IF($K32="","",IF(INDEX(Checklists!$E:$E,$K32)="","",INDEX(Checklists!$E:$E,$K32)))</f>
        <v/>
      </c>
      <c r="E32" s="11" t="str">
        <f aca="false">IF($K32="","",IF(INDEX(Checklists!$H:$H,$K32)="","",INDEX(Checklists!$H:$H,$K32)))</f>
        <v/>
      </c>
      <c r="F32" s="11" t="str">
        <f aca="false">IF($K32="","",IF(INDEX(Checklists!$I:$I,$K32)="","",INDEX(Checklists!$I:$I,$K32)))</f>
        <v/>
      </c>
      <c r="G32" s="13" t="str">
        <f aca="false">IF($K32="","",IF(INDEX(Checklists!$J:$J,$K32)="","",INDEX(Checklists!$J:$J,$K32)))</f>
        <v/>
      </c>
      <c r="H32" s="26" t="str">
        <f aca="false">IF($K32="","",IF(INDEX(Checklists!$K:$K,$K32)="","",INDEX(Checklists!$K:$K,$K32)))</f>
        <v/>
      </c>
      <c r="I32" s="13" t="str">
        <f aca="false">IF($K32="","",IF(INDEX(Checklists!$L:$L,$K32)="","",INDEX(Checklists!$L:$L,$K32)))</f>
        <v/>
      </c>
      <c r="K32" s="1" t="str">
        <f aca="false">IFERROR(MATCH(ROWS($K$4:$K32),Checklists!$N$2:$N$291,0)+1,"")</f>
        <v/>
      </c>
    </row>
    <row r="33" customFormat="false" ht="15" hidden="false" customHeight="true" outlineLevel="0" collapsed="false">
      <c r="A33" s="13" t="str">
        <f aca="false">IF($K33="","",ROWS($K$4:$K33))</f>
        <v/>
      </c>
      <c r="B33" s="13" t="str">
        <f aca="false">IF($K33="","",IF(INDEX(Checklists!$A:$A,$K33)="","",INDEX(Checklists!$A:$A,$K33)))</f>
        <v/>
      </c>
      <c r="C33" s="13" t="str">
        <f aca="false">IF($K33="","",IF(INDEX(Checklists!$B:$B,$K33)="","",INDEX(Checklists!$B:$B,$K33)))</f>
        <v/>
      </c>
      <c r="D33" s="11" t="str">
        <f aca="false">IF($K33="","",IF(INDEX(Checklists!$E:$E,$K33)="","",INDEX(Checklists!$E:$E,$K33)))</f>
        <v/>
      </c>
      <c r="E33" s="11" t="str">
        <f aca="false">IF($K33="","",IF(INDEX(Checklists!$H:$H,$K33)="","",INDEX(Checklists!$H:$H,$K33)))</f>
        <v/>
      </c>
      <c r="F33" s="11" t="str">
        <f aca="false">IF($K33="","",IF(INDEX(Checklists!$I:$I,$K33)="","",INDEX(Checklists!$I:$I,$K33)))</f>
        <v/>
      </c>
      <c r="G33" s="13" t="str">
        <f aca="false">IF($K33="","",IF(INDEX(Checklists!$J:$J,$K33)="","",INDEX(Checklists!$J:$J,$K33)))</f>
        <v/>
      </c>
      <c r="H33" s="26" t="str">
        <f aca="false">IF($K33="","",IF(INDEX(Checklists!$K:$K,$K33)="","",INDEX(Checklists!$K:$K,$K33)))</f>
        <v/>
      </c>
      <c r="I33" s="13" t="str">
        <f aca="false">IF($K33="","",IF(INDEX(Checklists!$L:$L,$K33)="","",INDEX(Checklists!$L:$L,$K33)))</f>
        <v/>
      </c>
      <c r="K33" s="1" t="str">
        <f aca="false">IFERROR(MATCH(ROWS($K$4:$K33),Checklists!$N$2:$N$291,0)+1,"")</f>
        <v/>
      </c>
    </row>
    <row r="34" customFormat="false" ht="15" hidden="false" customHeight="true" outlineLevel="0" collapsed="false">
      <c r="A34" s="13" t="str">
        <f aca="false">IF($K34="","",ROWS($K$4:$K34))</f>
        <v/>
      </c>
      <c r="B34" s="13" t="str">
        <f aca="false">IF($K34="","",IF(INDEX(Checklists!$A:$A,$K34)="","",INDEX(Checklists!$A:$A,$K34)))</f>
        <v/>
      </c>
      <c r="C34" s="13" t="str">
        <f aca="false">IF($K34="","",IF(INDEX(Checklists!$B:$B,$K34)="","",INDEX(Checklists!$B:$B,$K34)))</f>
        <v/>
      </c>
      <c r="D34" s="11" t="str">
        <f aca="false">IF($K34="","",IF(INDEX(Checklists!$E:$E,$K34)="","",INDEX(Checklists!$E:$E,$K34)))</f>
        <v/>
      </c>
      <c r="E34" s="11" t="str">
        <f aca="false">IF($K34="","",IF(INDEX(Checklists!$H:$H,$K34)="","",INDEX(Checklists!$H:$H,$K34)))</f>
        <v/>
      </c>
      <c r="F34" s="11" t="str">
        <f aca="false">IF($K34="","",IF(INDEX(Checklists!$I:$I,$K34)="","",INDEX(Checklists!$I:$I,$K34)))</f>
        <v/>
      </c>
      <c r="G34" s="13" t="str">
        <f aca="false">IF($K34="","",IF(INDEX(Checklists!$J:$J,$K34)="","",INDEX(Checklists!$J:$J,$K34)))</f>
        <v/>
      </c>
      <c r="H34" s="26" t="str">
        <f aca="false">IF($K34="","",IF(INDEX(Checklists!$K:$K,$K34)="","",INDEX(Checklists!$K:$K,$K34)))</f>
        <v/>
      </c>
      <c r="I34" s="13" t="str">
        <f aca="false">IF($K34="","",IF(INDEX(Checklists!$L:$L,$K34)="","",INDEX(Checklists!$L:$L,$K34)))</f>
        <v/>
      </c>
      <c r="K34" s="1" t="str">
        <f aca="false">IFERROR(MATCH(ROWS($K$4:$K34),Checklists!$N$2:$N$291,0)+1,"")</f>
        <v/>
      </c>
    </row>
    <row r="35" customFormat="false" ht="15" hidden="false" customHeight="true" outlineLevel="0" collapsed="false">
      <c r="A35" s="13" t="str">
        <f aca="false">IF($K35="","",ROWS($K$4:$K35))</f>
        <v/>
      </c>
      <c r="B35" s="13" t="str">
        <f aca="false">IF($K35="","",IF(INDEX(Checklists!$A:$A,$K35)="","",INDEX(Checklists!$A:$A,$K35)))</f>
        <v/>
      </c>
      <c r="C35" s="13" t="str">
        <f aca="false">IF($K35="","",IF(INDEX(Checklists!$B:$B,$K35)="","",INDEX(Checklists!$B:$B,$K35)))</f>
        <v/>
      </c>
      <c r="D35" s="11" t="str">
        <f aca="false">IF($K35="","",IF(INDEX(Checklists!$E:$E,$K35)="","",INDEX(Checklists!$E:$E,$K35)))</f>
        <v/>
      </c>
      <c r="E35" s="11" t="str">
        <f aca="false">IF($K35="","",IF(INDEX(Checklists!$H:$H,$K35)="","",INDEX(Checklists!$H:$H,$K35)))</f>
        <v/>
      </c>
      <c r="F35" s="11" t="str">
        <f aca="false">IF($K35="","",IF(INDEX(Checklists!$I:$I,$K35)="","",INDEX(Checklists!$I:$I,$K35)))</f>
        <v/>
      </c>
      <c r="G35" s="13" t="str">
        <f aca="false">IF($K35="","",IF(INDEX(Checklists!$J:$J,$K35)="","",INDEX(Checklists!$J:$J,$K35)))</f>
        <v/>
      </c>
      <c r="H35" s="26" t="str">
        <f aca="false">IF($K35="","",IF(INDEX(Checklists!$K:$K,$K35)="","",INDEX(Checklists!$K:$K,$K35)))</f>
        <v/>
      </c>
      <c r="I35" s="13" t="str">
        <f aca="false">IF($K35="","",IF(INDEX(Checklists!$L:$L,$K35)="","",INDEX(Checklists!$L:$L,$K35)))</f>
        <v/>
      </c>
      <c r="K35" s="1" t="str">
        <f aca="false">IFERROR(MATCH(ROWS($K$4:$K35),Checklists!$N$2:$N$291,0)+1,"")</f>
        <v/>
      </c>
    </row>
    <row r="36" customFormat="false" ht="15" hidden="false" customHeight="true" outlineLevel="0" collapsed="false">
      <c r="A36" s="13" t="str">
        <f aca="false">IF($K36="","",ROWS($K$4:$K36))</f>
        <v/>
      </c>
      <c r="B36" s="13" t="str">
        <f aca="false">IF($K36="","",IF(INDEX(Checklists!$A:$A,$K36)="","",INDEX(Checklists!$A:$A,$K36)))</f>
        <v/>
      </c>
      <c r="C36" s="13" t="str">
        <f aca="false">IF($K36="","",IF(INDEX(Checklists!$B:$B,$K36)="","",INDEX(Checklists!$B:$B,$K36)))</f>
        <v/>
      </c>
      <c r="D36" s="11" t="str">
        <f aca="false">IF($K36="","",IF(INDEX(Checklists!$E:$E,$K36)="","",INDEX(Checklists!$E:$E,$K36)))</f>
        <v/>
      </c>
      <c r="E36" s="11" t="str">
        <f aca="false">IF($K36="","",IF(INDEX(Checklists!$H:$H,$K36)="","",INDEX(Checklists!$H:$H,$K36)))</f>
        <v/>
      </c>
      <c r="F36" s="11" t="str">
        <f aca="false">IF($K36="","",IF(INDEX(Checklists!$I:$I,$K36)="","",INDEX(Checklists!$I:$I,$K36)))</f>
        <v/>
      </c>
      <c r="G36" s="13" t="str">
        <f aca="false">IF($K36="","",IF(INDEX(Checklists!$J:$J,$K36)="","",INDEX(Checklists!$J:$J,$K36)))</f>
        <v/>
      </c>
      <c r="H36" s="26" t="str">
        <f aca="false">IF($K36="","",IF(INDEX(Checklists!$K:$K,$K36)="","",INDEX(Checklists!$K:$K,$K36)))</f>
        <v/>
      </c>
      <c r="I36" s="13" t="str">
        <f aca="false">IF($K36="","",IF(INDEX(Checklists!$L:$L,$K36)="","",INDEX(Checklists!$L:$L,$K36)))</f>
        <v/>
      </c>
      <c r="K36" s="1" t="str">
        <f aca="false">IFERROR(MATCH(ROWS($K$4:$K36),Checklists!$N$2:$N$291,0)+1,"")</f>
        <v/>
      </c>
    </row>
    <row r="37" customFormat="false" ht="15" hidden="false" customHeight="true" outlineLevel="0" collapsed="false">
      <c r="A37" s="13" t="str">
        <f aca="false">IF($K37="","",ROWS($K$4:$K37))</f>
        <v/>
      </c>
      <c r="B37" s="13" t="str">
        <f aca="false">IF($K37="","",IF(INDEX(Checklists!$A:$A,$K37)="","",INDEX(Checklists!$A:$A,$K37)))</f>
        <v/>
      </c>
      <c r="C37" s="13" t="str">
        <f aca="false">IF($K37="","",IF(INDEX(Checklists!$B:$B,$K37)="","",INDEX(Checklists!$B:$B,$K37)))</f>
        <v/>
      </c>
      <c r="D37" s="11" t="str">
        <f aca="false">IF($K37="","",IF(INDEX(Checklists!$E:$E,$K37)="","",INDEX(Checklists!$E:$E,$K37)))</f>
        <v/>
      </c>
      <c r="E37" s="11" t="str">
        <f aca="false">IF($K37="","",IF(INDEX(Checklists!$H:$H,$K37)="","",INDEX(Checklists!$H:$H,$K37)))</f>
        <v/>
      </c>
      <c r="F37" s="11" t="str">
        <f aca="false">IF($K37="","",IF(INDEX(Checklists!$I:$I,$K37)="","",INDEX(Checklists!$I:$I,$K37)))</f>
        <v/>
      </c>
      <c r="G37" s="13" t="str">
        <f aca="false">IF($K37="","",IF(INDEX(Checklists!$J:$J,$K37)="","",INDEX(Checklists!$J:$J,$K37)))</f>
        <v/>
      </c>
      <c r="H37" s="26" t="str">
        <f aca="false">IF($K37="","",IF(INDEX(Checklists!$K:$K,$K37)="","",INDEX(Checklists!$K:$K,$K37)))</f>
        <v/>
      </c>
      <c r="I37" s="13" t="str">
        <f aca="false">IF($K37="","",IF(INDEX(Checklists!$L:$L,$K37)="","",INDEX(Checklists!$L:$L,$K37)))</f>
        <v/>
      </c>
      <c r="K37" s="1" t="str">
        <f aca="false">IFERROR(MATCH(ROWS($K$4:$K37),Checklists!$N$2:$N$291,0)+1,"")</f>
        <v/>
      </c>
    </row>
    <row r="38" customFormat="false" ht="15" hidden="false" customHeight="true" outlineLevel="0" collapsed="false">
      <c r="A38" s="13" t="str">
        <f aca="false">IF($K38="","",ROWS($K$4:$K38))</f>
        <v/>
      </c>
      <c r="B38" s="13" t="str">
        <f aca="false">IF($K38="","",IF(INDEX(Checklists!$A:$A,$K38)="","",INDEX(Checklists!$A:$A,$K38)))</f>
        <v/>
      </c>
      <c r="C38" s="13" t="str">
        <f aca="false">IF($K38="","",IF(INDEX(Checklists!$B:$B,$K38)="","",INDEX(Checklists!$B:$B,$K38)))</f>
        <v/>
      </c>
      <c r="D38" s="11" t="str">
        <f aca="false">IF($K38="","",IF(INDEX(Checklists!$E:$E,$K38)="","",INDEX(Checklists!$E:$E,$K38)))</f>
        <v/>
      </c>
      <c r="E38" s="11" t="str">
        <f aca="false">IF($K38="","",IF(INDEX(Checklists!$H:$H,$K38)="","",INDEX(Checklists!$H:$H,$K38)))</f>
        <v/>
      </c>
      <c r="F38" s="11" t="str">
        <f aca="false">IF($K38="","",IF(INDEX(Checklists!$I:$I,$K38)="","",INDEX(Checklists!$I:$I,$K38)))</f>
        <v/>
      </c>
      <c r="G38" s="13" t="str">
        <f aca="false">IF($K38="","",IF(INDEX(Checklists!$J:$J,$K38)="","",INDEX(Checklists!$J:$J,$K38)))</f>
        <v/>
      </c>
      <c r="H38" s="26" t="str">
        <f aca="false">IF($K38="","",IF(INDEX(Checklists!$K:$K,$K38)="","",INDEX(Checklists!$K:$K,$K38)))</f>
        <v/>
      </c>
      <c r="I38" s="13" t="str">
        <f aca="false">IF($K38="","",IF(INDEX(Checklists!$L:$L,$K38)="","",INDEX(Checklists!$L:$L,$K38)))</f>
        <v/>
      </c>
      <c r="K38" s="1" t="str">
        <f aca="false">IFERROR(MATCH(ROWS($K$4:$K38),Checklists!$N$2:$N$291,0)+1,"")</f>
        <v/>
      </c>
    </row>
    <row r="39" customFormat="false" ht="15" hidden="false" customHeight="true" outlineLevel="0" collapsed="false">
      <c r="A39" s="13" t="str">
        <f aca="false">IF($K39="","",ROWS($K$4:$K39))</f>
        <v/>
      </c>
      <c r="B39" s="13" t="str">
        <f aca="false">IF($K39="","",IF(INDEX(Checklists!$A:$A,$K39)="","",INDEX(Checklists!$A:$A,$K39)))</f>
        <v/>
      </c>
      <c r="C39" s="13" t="str">
        <f aca="false">IF($K39="","",IF(INDEX(Checklists!$B:$B,$K39)="","",INDEX(Checklists!$B:$B,$K39)))</f>
        <v/>
      </c>
      <c r="D39" s="11" t="str">
        <f aca="false">IF($K39="","",IF(INDEX(Checklists!$E:$E,$K39)="","",INDEX(Checklists!$E:$E,$K39)))</f>
        <v/>
      </c>
      <c r="E39" s="11" t="str">
        <f aca="false">IF($K39="","",IF(INDEX(Checklists!$H:$H,$K39)="","",INDEX(Checklists!$H:$H,$K39)))</f>
        <v/>
      </c>
      <c r="F39" s="11" t="str">
        <f aca="false">IF($K39="","",IF(INDEX(Checklists!$I:$I,$K39)="","",INDEX(Checklists!$I:$I,$K39)))</f>
        <v/>
      </c>
      <c r="G39" s="13" t="str">
        <f aca="false">IF($K39="","",IF(INDEX(Checklists!$J:$J,$K39)="","",INDEX(Checklists!$J:$J,$K39)))</f>
        <v/>
      </c>
      <c r="H39" s="26" t="str">
        <f aca="false">IF($K39="","",IF(INDEX(Checklists!$K:$K,$K39)="","",INDEX(Checklists!$K:$K,$K39)))</f>
        <v/>
      </c>
      <c r="I39" s="13" t="str">
        <f aca="false">IF($K39="","",IF(INDEX(Checklists!$L:$L,$K39)="","",INDEX(Checklists!$L:$L,$K39)))</f>
        <v/>
      </c>
      <c r="K39" s="1" t="str">
        <f aca="false">IFERROR(MATCH(ROWS($K$4:$K39),Checklists!$N$2:$N$291,0)+1,"")</f>
        <v/>
      </c>
    </row>
    <row r="40" customFormat="false" ht="15" hidden="false" customHeight="true" outlineLevel="0" collapsed="false">
      <c r="A40" s="13" t="str">
        <f aca="false">IF($K40="","",ROWS($K$4:$K40))</f>
        <v/>
      </c>
      <c r="B40" s="13" t="str">
        <f aca="false">IF($K40="","",IF(INDEX(Checklists!$A:$A,$K40)="","",INDEX(Checklists!$A:$A,$K40)))</f>
        <v/>
      </c>
      <c r="C40" s="13" t="str">
        <f aca="false">IF($K40="","",IF(INDEX(Checklists!$B:$B,$K40)="","",INDEX(Checklists!$B:$B,$K40)))</f>
        <v/>
      </c>
      <c r="D40" s="11" t="str">
        <f aca="false">IF($K40="","",IF(INDEX(Checklists!$E:$E,$K40)="","",INDEX(Checklists!$E:$E,$K40)))</f>
        <v/>
      </c>
      <c r="E40" s="11" t="str">
        <f aca="false">IF($K40="","",IF(INDEX(Checklists!$H:$H,$K40)="","",INDEX(Checklists!$H:$H,$K40)))</f>
        <v/>
      </c>
      <c r="F40" s="11" t="str">
        <f aca="false">IF($K40="","",IF(INDEX(Checklists!$I:$I,$K40)="","",INDEX(Checklists!$I:$I,$K40)))</f>
        <v/>
      </c>
      <c r="G40" s="13" t="str">
        <f aca="false">IF($K40="","",IF(INDEX(Checklists!$J:$J,$K40)="","",INDEX(Checklists!$J:$J,$K40)))</f>
        <v/>
      </c>
      <c r="H40" s="26" t="str">
        <f aca="false">IF($K40="","",IF(INDEX(Checklists!$K:$K,$K40)="","",INDEX(Checklists!$K:$K,$K40)))</f>
        <v/>
      </c>
      <c r="I40" s="13" t="str">
        <f aca="false">IF($K40="","",IF(INDEX(Checklists!$L:$L,$K40)="","",INDEX(Checklists!$L:$L,$K40)))</f>
        <v/>
      </c>
      <c r="K40" s="1" t="str">
        <f aca="false">IFERROR(MATCH(ROWS($K$4:$K40),Checklists!$N$2:$N$291,0)+1,"")</f>
        <v/>
      </c>
    </row>
    <row r="41" customFormat="false" ht="15" hidden="false" customHeight="true" outlineLevel="0" collapsed="false">
      <c r="A41" s="13" t="str">
        <f aca="false">IF($K41="","",ROWS($K$4:$K41))</f>
        <v/>
      </c>
      <c r="B41" s="13" t="str">
        <f aca="false">IF($K41="","",IF(INDEX(Checklists!$A:$A,$K41)="","",INDEX(Checklists!$A:$A,$K41)))</f>
        <v/>
      </c>
      <c r="C41" s="13" t="str">
        <f aca="false">IF($K41="","",IF(INDEX(Checklists!$B:$B,$K41)="","",INDEX(Checklists!$B:$B,$K41)))</f>
        <v/>
      </c>
      <c r="D41" s="11" t="str">
        <f aca="false">IF($K41="","",IF(INDEX(Checklists!$E:$E,$K41)="","",INDEX(Checklists!$E:$E,$K41)))</f>
        <v/>
      </c>
      <c r="E41" s="11" t="str">
        <f aca="false">IF($K41="","",IF(INDEX(Checklists!$H:$H,$K41)="","",INDEX(Checklists!$H:$H,$K41)))</f>
        <v/>
      </c>
      <c r="F41" s="11" t="str">
        <f aca="false">IF($K41="","",IF(INDEX(Checklists!$I:$I,$K41)="","",INDEX(Checklists!$I:$I,$K41)))</f>
        <v/>
      </c>
      <c r="G41" s="13" t="str">
        <f aca="false">IF($K41="","",IF(INDEX(Checklists!$J:$J,$K41)="","",INDEX(Checklists!$J:$J,$K41)))</f>
        <v/>
      </c>
      <c r="H41" s="26" t="str">
        <f aca="false">IF($K41="","",IF(INDEX(Checklists!$K:$K,$K41)="","",INDEX(Checklists!$K:$K,$K41)))</f>
        <v/>
      </c>
      <c r="I41" s="13" t="str">
        <f aca="false">IF($K41="","",IF(INDEX(Checklists!$L:$L,$K41)="","",INDEX(Checklists!$L:$L,$K41)))</f>
        <v/>
      </c>
      <c r="K41" s="1" t="str">
        <f aca="false">IFERROR(MATCH(ROWS($K$4:$K41),Checklists!$N$2:$N$291,0)+1,"")</f>
        <v/>
      </c>
    </row>
    <row r="42" customFormat="false" ht="15" hidden="false" customHeight="true" outlineLevel="0" collapsed="false">
      <c r="A42" s="13" t="str">
        <f aca="false">IF($K42="","",ROWS($K$4:$K42))</f>
        <v/>
      </c>
      <c r="B42" s="13" t="str">
        <f aca="false">IF($K42="","",IF(INDEX(Checklists!$A:$A,$K42)="","",INDEX(Checklists!$A:$A,$K42)))</f>
        <v/>
      </c>
      <c r="C42" s="13" t="str">
        <f aca="false">IF($K42="","",IF(INDEX(Checklists!$B:$B,$K42)="","",INDEX(Checklists!$B:$B,$K42)))</f>
        <v/>
      </c>
      <c r="D42" s="11" t="str">
        <f aca="false">IF($K42="","",IF(INDEX(Checklists!$E:$E,$K42)="","",INDEX(Checklists!$E:$E,$K42)))</f>
        <v/>
      </c>
      <c r="E42" s="11" t="str">
        <f aca="false">IF($K42="","",IF(INDEX(Checklists!$H:$H,$K42)="","",INDEX(Checklists!$H:$H,$K42)))</f>
        <v/>
      </c>
      <c r="F42" s="11" t="str">
        <f aca="false">IF($K42="","",IF(INDEX(Checklists!$I:$I,$K42)="","",INDEX(Checklists!$I:$I,$K42)))</f>
        <v/>
      </c>
      <c r="G42" s="13" t="str">
        <f aca="false">IF($K42="","",IF(INDEX(Checklists!$J:$J,$K42)="","",INDEX(Checklists!$J:$J,$K42)))</f>
        <v/>
      </c>
      <c r="H42" s="26" t="str">
        <f aca="false">IF($K42="","",IF(INDEX(Checklists!$K:$K,$K42)="","",INDEX(Checklists!$K:$K,$K42)))</f>
        <v/>
      </c>
      <c r="I42" s="13" t="str">
        <f aca="false">IF($K42="","",IF(INDEX(Checklists!$L:$L,$K42)="","",INDEX(Checklists!$L:$L,$K42)))</f>
        <v/>
      </c>
      <c r="K42" s="1" t="str">
        <f aca="false">IFERROR(MATCH(ROWS($K$4:$K42),Checklists!$N$2:$N$291,0)+1,"")</f>
        <v/>
      </c>
    </row>
    <row r="43" customFormat="false" ht="15" hidden="false" customHeight="true" outlineLevel="0" collapsed="false">
      <c r="A43" s="13" t="str">
        <f aca="false">IF($K43="","",ROWS($K$4:$K43))</f>
        <v/>
      </c>
      <c r="B43" s="13" t="str">
        <f aca="false">IF($K43="","",IF(INDEX(Checklists!$A:$A,$K43)="","",INDEX(Checklists!$A:$A,$K43)))</f>
        <v/>
      </c>
      <c r="C43" s="13" t="str">
        <f aca="false">IF($K43="","",IF(INDEX(Checklists!$B:$B,$K43)="","",INDEX(Checklists!$B:$B,$K43)))</f>
        <v/>
      </c>
      <c r="D43" s="11" t="str">
        <f aca="false">IF($K43="","",IF(INDEX(Checklists!$E:$E,$K43)="","",INDEX(Checklists!$E:$E,$K43)))</f>
        <v/>
      </c>
      <c r="E43" s="11" t="str">
        <f aca="false">IF($K43="","",IF(INDEX(Checklists!$H:$H,$K43)="","",INDEX(Checklists!$H:$H,$K43)))</f>
        <v/>
      </c>
      <c r="F43" s="11" t="str">
        <f aca="false">IF($K43="","",IF(INDEX(Checklists!$I:$I,$K43)="","",INDEX(Checklists!$I:$I,$K43)))</f>
        <v/>
      </c>
      <c r="G43" s="13" t="str">
        <f aca="false">IF($K43="","",IF(INDEX(Checklists!$J:$J,$K43)="","",INDEX(Checklists!$J:$J,$K43)))</f>
        <v/>
      </c>
      <c r="H43" s="26" t="str">
        <f aca="false">IF($K43="","",IF(INDEX(Checklists!$K:$K,$K43)="","",INDEX(Checklists!$K:$K,$K43)))</f>
        <v/>
      </c>
      <c r="I43" s="13" t="str">
        <f aca="false">IF($K43="","",IF(INDEX(Checklists!$L:$L,$K43)="","",INDEX(Checklists!$L:$L,$K43)))</f>
        <v/>
      </c>
      <c r="K43" s="1" t="str">
        <f aca="false">IFERROR(MATCH(ROWS($K$4:$K43),Checklists!$N$2:$N$291,0)+1,"")</f>
        <v/>
      </c>
    </row>
    <row r="44" customFormat="false" ht="15" hidden="false" customHeight="true" outlineLevel="0" collapsed="false">
      <c r="A44" s="13" t="str">
        <f aca="false">IF($K44="","",ROWS($K$4:$K44))</f>
        <v/>
      </c>
      <c r="B44" s="13" t="str">
        <f aca="false">IF($K44="","",IF(INDEX(Checklists!$A:$A,$K44)="","",INDEX(Checklists!$A:$A,$K44)))</f>
        <v/>
      </c>
      <c r="C44" s="13" t="str">
        <f aca="false">IF($K44="","",IF(INDEX(Checklists!$B:$B,$K44)="","",INDEX(Checklists!$B:$B,$K44)))</f>
        <v/>
      </c>
      <c r="D44" s="11" t="str">
        <f aca="false">IF($K44="","",IF(INDEX(Checklists!$E:$E,$K44)="","",INDEX(Checklists!$E:$E,$K44)))</f>
        <v/>
      </c>
      <c r="E44" s="11" t="str">
        <f aca="false">IF($K44="","",IF(INDEX(Checklists!$H:$H,$K44)="","",INDEX(Checklists!$H:$H,$K44)))</f>
        <v/>
      </c>
      <c r="F44" s="11" t="str">
        <f aca="false">IF($K44="","",IF(INDEX(Checklists!$I:$I,$K44)="","",INDEX(Checklists!$I:$I,$K44)))</f>
        <v/>
      </c>
      <c r="G44" s="13" t="str">
        <f aca="false">IF($K44="","",IF(INDEX(Checklists!$J:$J,$K44)="","",INDEX(Checklists!$J:$J,$K44)))</f>
        <v/>
      </c>
      <c r="H44" s="26" t="str">
        <f aca="false">IF($K44="","",IF(INDEX(Checklists!$K:$K,$K44)="","",INDEX(Checklists!$K:$K,$K44)))</f>
        <v/>
      </c>
      <c r="I44" s="13" t="str">
        <f aca="false">IF($K44="","",IF(INDEX(Checklists!$L:$L,$K44)="","",INDEX(Checklists!$L:$L,$K44)))</f>
        <v/>
      </c>
      <c r="K44" s="1" t="str">
        <f aca="false">IFERROR(MATCH(ROWS($K$4:$K44),Checklists!$N$2:$N$291,0)+1,"")</f>
        <v/>
      </c>
    </row>
    <row r="45" customFormat="false" ht="15" hidden="false" customHeight="true" outlineLevel="0" collapsed="false">
      <c r="A45" s="13" t="str">
        <f aca="false">IF($K45="","",ROWS($K$4:$K45))</f>
        <v/>
      </c>
      <c r="B45" s="13" t="str">
        <f aca="false">IF($K45="","",IF(INDEX(Checklists!$A:$A,$K45)="","",INDEX(Checklists!$A:$A,$K45)))</f>
        <v/>
      </c>
      <c r="C45" s="13" t="str">
        <f aca="false">IF($K45="","",IF(INDEX(Checklists!$B:$B,$K45)="","",INDEX(Checklists!$B:$B,$K45)))</f>
        <v/>
      </c>
      <c r="D45" s="11" t="str">
        <f aca="false">IF($K45="","",IF(INDEX(Checklists!$E:$E,$K45)="","",INDEX(Checklists!$E:$E,$K45)))</f>
        <v/>
      </c>
      <c r="E45" s="11" t="str">
        <f aca="false">IF($K45="","",IF(INDEX(Checklists!$H:$H,$K45)="","",INDEX(Checklists!$H:$H,$K45)))</f>
        <v/>
      </c>
      <c r="F45" s="11" t="str">
        <f aca="false">IF($K45="","",IF(INDEX(Checklists!$I:$I,$K45)="","",INDEX(Checklists!$I:$I,$K45)))</f>
        <v/>
      </c>
      <c r="G45" s="13" t="str">
        <f aca="false">IF($K45="","",IF(INDEX(Checklists!$J:$J,$K45)="","",INDEX(Checklists!$J:$J,$K45)))</f>
        <v/>
      </c>
      <c r="H45" s="26" t="str">
        <f aca="false">IF($K45="","",IF(INDEX(Checklists!$K:$K,$K45)="","",INDEX(Checklists!$K:$K,$K45)))</f>
        <v/>
      </c>
      <c r="I45" s="13" t="str">
        <f aca="false">IF($K45="","",IF(INDEX(Checklists!$L:$L,$K45)="","",INDEX(Checklists!$L:$L,$K45)))</f>
        <v/>
      </c>
      <c r="K45" s="1" t="str">
        <f aca="false">IFERROR(MATCH(ROWS($K$4:$K45),Checklists!$N$2:$N$291,0)+1,"")</f>
        <v/>
      </c>
    </row>
    <row r="46" customFormat="false" ht="15" hidden="false" customHeight="true" outlineLevel="0" collapsed="false">
      <c r="A46" s="13" t="str">
        <f aca="false">IF($K46="","",ROWS($K$4:$K46))</f>
        <v/>
      </c>
      <c r="B46" s="13" t="str">
        <f aca="false">IF($K46="","",IF(INDEX(Checklists!$A:$A,$K46)="","",INDEX(Checklists!$A:$A,$K46)))</f>
        <v/>
      </c>
      <c r="C46" s="13" t="str">
        <f aca="false">IF($K46="","",IF(INDEX(Checklists!$B:$B,$K46)="","",INDEX(Checklists!$B:$B,$K46)))</f>
        <v/>
      </c>
      <c r="D46" s="11" t="str">
        <f aca="false">IF($K46="","",IF(INDEX(Checklists!$E:$E,$K46)="","",INDEX(Checklists!$E:$E,$K46)))</f>
        <v/>
      </c>
      <c r="E46" s="11" t="str">
        <f aca="false">IF($K46="","",IF(INDEX(Checklists!$H:$H,$K46)="","",INDEX(Checklists!$H:$H,$K46)))</f>
        <v/>
      </c>
      <c r="F46" s="11" t="str">
        <f aca="false">IF($K46="","",IF(INDEX(Checklists!$I:$I,$K46)="","",INDEX(Checklists!$I:$I,$K46)))</f>
        <v/>
      </c>
      <c r="G46" s="13" t="str">
        <f aca="false">IF($K46="","",IF(INDEX(Checklists!$J:$J,$K46)="","",INDEX(Checklists!$J:$J,$K46)))</f>
        <v/>
      </c>
      <c r="H46" s="26" t="str">
        <f aca="false">IF($K46="","",IF(INDEX(Checklists!$K:$K,$K46)="","",INDEX(Checklists!$K:$K,$K46)))</f>
        <v/>
      </c>
      <c r="I46" s="13" t="str">
        <f aca="false">IF($K46="","",IF(INDEX(Checklists!$L:$L,$K46)="","",INDEX(Checklists!$L:$L,$K46)))</f>
        <v/>
      </c>
      <c r="K46" s="1" t="str">
        <f aca="false">IFERROR(MATCH(ROWS($K$4:$K46),Checklists!$N$2:$N$291,0)+1,"")</f>
        <v/>
      </c>
    </row>
    <row r="47" customFormat="false" ht="15" hidden="false" customHeight="true" outlineLevel="0" collapsed="false">
      <c r="A47" s="13" t="str">
        <f aca="false">IF($K47="","",ROWS($K$4:$K47))</f>
        <v/>
      </c>
      <c r="B47" s="13" t="str">
        <f aca="false">IF($K47="","",IF(INDEX(Checklists!$A:$A,$K47)="","",INDEX(Checklists!$A:$A,$K47)))</f>
        <v/>
      </c>
      <c r="C47" s="13" t="str">
        <f aca="false">IF($K47="","",IF(INDEX(Checklists!$B:$B,$K47)="","",INDEX(Checklists!$B:$B,$K47)))</f>
        <v/>
      </c>
      <c r="D47" s="11" t="str">
        <f aca="false">IF($K47="","",IF(INDEX(Checklists!$E:$E,$K47)="","",INDEX(Checklists!$E:$E,$K47)))</f>
        <v/>
      </c>
      <c r="E47" s="11" t="str">
        <f aca="false">IF($K47="","",IF(INDEX(Checklists!$H:$H,$K47)="","",INDEX(Checklists!$H:$H,$K47)))</f>
        <v/>
      </c>
      <c r="F47" s="11" t="str">
        <f aca="false">IF($K47="","",IF(INDEX(Checklists!$I:$I,$K47)="","",INDEX(Checklists!$I:$I,$K47)))</f>
        <v/>
      </c>
      <c r="G47" s="13" t="str">
        <f aca="false">IF($K47="","",IF(INDEX(Checklists!$J:$J,$K47)="","",INDEX(Checklists!$J:$J,$K47)))</f>
        <v/>
      </c>
      <c r="H47" s="26" t="str">
        <f aca="false">IF($K47="","",IF(INDEX(Checklists!$K:$K,$K47)="","",INDEX(Checklists!$K:$K,$K47)))</f>
        <v/>
      </c>
      <c r="I47" s="13" t="str">
        <f aca="false">IF($K47="","",IF(INDEX(Checklists!$L:$L,$K47)="","",INDEX(Checklists!$L:$L,$K47)))</f>
        <v/>
      </c>
      <c r="K47" s="1" t="str">
        <f aca="false">IFERROR(MATCH(ROWS($K$4:$K47),Checklists!$N$2:$N$291,0)+1,"")</f>
        <v/>
      </c>
    </row>
    <row r="48" customFormat="false" ht="15" hidden="false" customHeight="true" outlineLevel="0" collapsed="false">
      <c r="A48" s="13" t="str">
        <f aca="false">IF($K48="","",ROWS($K$4:$K48))</f>
        <v/>
      </c>
      <c r="B48" s="13" t="str">
        <f aca="false">IF($K48="","",IF(INDEX(Checklists!$A:$A,$K48)="","",INDEX(Checklists!$A:$A,$K48)))</f>
        <v/>
      </c>
      <c r="C48" s="13" t="str">
        <f aca="false">IF($K48="","",IF(INDEX(Checklists!$B:$B,$K48)="","",INDEX(Checklists!$B:$B,$K48)))</f>
        <v/>
      </c>
      <c r="D48" s="11" t="str">
        <f aca="false">IF($K48="","",IF(INDEX(Checklists!$E:$E,$K48)="","",INDEX(Checklists!$E:$E,$K48)))</f>
        <v/>
      </c>
      <c r="E48" s="11" t="str">
        <f aca="false">IF($K48="","",IF(INDEX(Checklists!$H:$H,$K48)="","",INDEX(Checklists!$H:$H,$K48)))</f>
        <v/>
      </c>
      <c r="F48" s="11" t="str">
        <f aca="false">IF($K48="","",IF(INDEX(Checklists!$I:$I,$K48)="","",INDEX(Checklists!$I:$I,$K48)))</f>
        <v/>
      </c>
      <c r="G48" s="13" t="str">
        <f aca="false">IF($K48="","",IF(INDEX(Checklists!$J:$J,$K48)="","",INDEX(Checklists!$J:$J,$K48)))</f>
        <v/>
      </c>
      <c r="H48" s="26" t="str">
        <f aca="false">IF($K48="","",IF(INDEX(Checklists!$K:$K,$K48)="","",INDEX(Checklists!$K:$K,$K48)))</f>
        <v/>
      </c>
      <c r="I48" s="13" t="str">
        <f aca="false">IF($K48="","",IF(INDEX(Checklists!$L:$L,$K48)="","",INDEX(Checklists!$L:$L,$K48)))</f>
        <v/>
      </c>
      <c r="K48" s="1" t="str">
        <f aca="false">IFERROR(MATCH(ROWS($K$4:$K48),Checklists!$N$2:$N$291,0)+1,"")</f>
        <v/>
      </c>
    </row>
    <row r="49" customFormat="false" ht="15" hidden="false" customHeight="true" outlineLevel="0" collapsed="false">
      <c r="A49" s="13" t="str">
        <f aca="false">IF($K49="","",ROWS($K$4:$K49))</f>
        <v/>
      </c>
      <c r="B49" s="13" t="str">
        <f aca="false">IF($K49="","",IF(INDEX(Checklists!$A:$A,$K49)="","",INDEX(Checklists!$A:$A,$K49)))</f>
        <v/>
      </c>
      <c r="C49" s="13" t="str">
        <f aca="false">IF($K49="","",IF(INDEX(Checklists!$B:$B,$K49)="","",INDEX(Checklists!$B:$B,$K49)))</f>
        <v/>
      </c>
      <c r="D49" s="11" t="str">
        <f aca="false">IF($K49="","",IF(INDEX(Checklists!$E:$E,$K49)="","",INDEX(Checklists!$E:$E,$K49)))</f>
        <v/>
      </c>
      <c r="E49" s="11" t="str">
        <f aca="false">IF($K49="","",IF(INDEX(Checklists!$H:$H,$K49)="","",INDEX(Checklists!$H:$H,$K49)))</f>
        <v/>
      </c>
      <c r="F49" s="11" t="str">
        <f aca="false">IF($K49="","",IF(INDEX(Checklists!$I:$I,$K49)="","",INDEX(Checklists!$I:$I,$K49)))</f>
        <v/>
      </c>
      <c r="G49" s="13" t="str">
        <f aca="false">IF($K49="","",IF(INDEX(Checklists!$J:$J,$K49)="","",INDEX(Checklists!$J:$J,$K49)))</f>
        <v/>
      </c>
      <c r="H49" s="26" t="str">
        <f aca="false">IF($K49="","",IF(INDEX(Checklists!$K:$K,$K49)="","",INDEX(Checklists!$K:$K,$K49)))</f>
        <v/>
      </c>
      <c r="I49" s="13" t="str">
        <f aca="false">IF($K49="","",IF(INDEX(Checklists!$L:$L,$K49)="","",INDEX(Checklists!$L:$L,$K49)))</f>
        <v/>
      </c>
      <c r="K49" s="1" t="str">
        <f aca="false">IFERROR(MATCH(ROWS($K$4:$K49),Checklists!$N$2:$N$291,0)+1,"")</f>
        <v/>
      </c>
    </row>
    <row r="50" customFormat="false" ht="15" hidden="false" customHeight="true" outlineLevel="0" collapsed="false">
      <c r="A50" s="13" t="str">
        <f aca="false">IF($K50="","",ROWS($K$4:$K50))</f>
        <v/>
      </c>
      <c r="B50" s="13" t="str">
        <f aca="false">IF($K50="","",IF(INDEX(Checklists!$A:$A,$K50)="","",INDEX(Checklists!$A:$A,$K50)))</f>
        <v/>
      </c>
      <c r="C50" s="13" t="str">
        <f aca="false">IF($K50="","",IF(INDEX(Checklists!$B:$B,$K50)="","",INDEX(Checklists!$B:$B,$K50)))</f>
        <v/>
      </c>
      <c r="D50" s="11" t="str">
        <f aca="false">IF($K50="","",IF(INDEX(Checklists!$E:$E,$K50)="","",INDEX(Checklists!$E:$E,$K50)))</f>
        <v/>
      </c>
      <c r="E50" s="11" t="str">
        <f aca="false">IF($K50="","",IF(INDEX(Checklists!$H:$H,$K50)="","",INDEX(Checklists!$H:$H,$K50)))</f>
        <v/>
      </c>
      <c r="F50" s="11" t="str">
        <f aca="false">IF($K50="","",IF(INDEX(Checklists!$I:$I,$K50)="","",INDEX(Checklists!$I:$I,$K50)))</f>
        <v/>
      </c>
      <c r="G50" s="13" t="str">
        <f aca="false">IF($K50="","",IF(INDEX(Checklists!$J:$J,$K50)="","",INDEX(Checklists!$J:$J,$K50)))</f>
        <v/>
      </c>
      <c r="H50" s="26" t="str">
        <f aca="false">IF($K50="","",IF(INDEX(Checklists!$K:$K,$K50)="","",INDEX(Checklists!$K:$K,$K50)))</f>
        <v/>
      </c>
      <c r="I50" s="13" t="str">
        <f aca="false">IF($K50="","",IF(INDEX(Checklists!$L:$L,$K50)="","",INDEX(Checklists!$L:$L,$K50)))</f>
        <v/>
      </c>
      <c r="K50" s="1" t="str">
        <f aca="false">IFERROR(MATCH(ROWS($K$4:$K50),Checklists!$N$2:$N$291,0)+1,"")</f>
        <v/>
      </c>
    </row>
    <row r="51" customFormat="false" ht="15" hidden="false" customHeight="true" outlineLevel="0" collapsed="false">
      <c r="A51" s="13" t="str">
        <f aca="false">IF($K51="","",ROWS($K$4:$K51))</f>
        <v/>
      </c>
      <c r="B51" s="13" t="str">
        <f aca="false">IF($K51="","",IF(INDEX(Checklists!$A:$A,$K51)="","",INDEX(Checklists!$A:$A,$K51)))</f>
        <v/>
      </c>
      <c r="C51" s="13" t="str">
        <f aca="false">IF($K51="","",IF(INDEX(Checklists!$B:$B,$K51)="","",INDEX(Checklists!$B:$B,$K51)))</f>
        <v/>
      </c>
      <c r="D51" s="11" t="str">
        <f aca="false">IF($K51="","",IF(INDEX(Checklists!$E:$E,$K51)="","",INDEX(Checklists!$E:$E,$K51)))</f>
        <v/>
      </c>
      <c r="E51" s="11" t="str">
        <f aca="false">IF($K51="","",IF(INDEX(Checklists!$H:$H,$K51)="","",INDEX(Checklists!$H:$H,$K51)))</f>
        <v/>
      </c>
      <c r="F51" s="11" t="str">
        <f aca="false">IF($K51="","",IF(INDEX(Checklists!$I:$I,$K51)="","",INDEX(Checklists!$I:$I,$K51)))</f>
        <v/>
      </c>
      <c r="G51" s="13" t="str">
        <f aca="false">IF($K51="","",IF(INDEX(Checklists!$J:$J,$K51)="","",INDEX(Checklists!$J:$J,$K51)))</f>
        <v/>
      </c>
      <c r="H51" s="26" t="str">
        <f aca="false">IF($K51="","",IF(INDEX(Checklists!$K:$K,$K51)="","",INDEX(Checklists!$K:$K,$K51)))</f>
        <v/>
      </c>
      <c r="I51" s="13" t="str">
        <f aca="false">IF($K51="","",IF(INDEX(Checklists!$L:$L,$K51)="","",INDEX(Checklists!$L:$L,$K51)))</f>
        <v/>
      </c>
      <c r="K51" s="1" t="str">
        <f aca="false">IFERROR(MATCH(ROWS($K$4:$K51),Checklists!$N$2:$N$291,0)+1,"")</f>
        <v/>
      </c>
    </row>
    <row r="52" customFormat="false" ht="15" hidden="false" customHeight="true" outlineLevel="0" collapsed="false">
      <c r="A52" s="13" t="str">
        <f aca="false">IF($K52="","",ROWS($K$4:$K52))</f>
        <v/>
      </c>
      <c r="B52" s="13" t="str">
        <f aca="false">IF($K52="","",IF(INDEX(Checklists!$A:$A,$K52)="","",INDEX(Checklists!$A:$A,$K52)))</f>
        <v/>
      </c>
      <c r="C52" s="13" t="str">
        <f aca="false">IF($K52="","",IF(INDEX(Checklists!$B:$B,$K52)="","",INDEX(Checklists!$B:$B,$K52)))</f>
        <v/>
      </c>
      <c r="D52" s="11" t="str">
        <f aca="false">IF($K52="","",IF(INDEX(Checklists!$E:$E,$K52)="","",INDEX(Checklists!$E:$E,$K52)))</f>
        <v/>
      </c>
      <c r="E52" s="11" t="str">
        <f aca="false">IF($K52="","",IF(INDEX(Checklists!$H:$H,$K52)="","",INDEX(Checklists!$H:$H,$K52)))</f>
        <v/>
      </c>
      <c r="F52" s="11" t="str">
        <f aca="false">IF($K52="","",IF(INDEX(Checklists!$I:$I,$K52)="","",INDEX(Checklists!$I:$I,$K52)))</f>
        <v/>
      </c>
      <c r="G52" s="13" t="str">
        <f aca="false">IF($K52="","",IF(INDEX(Checklists!$J:$J,$K52)="","",INDEX(Checklists!$J:$J,$K52)))</f>
        <v/>
      </c>
      <c r="H52" s="26" t="str">
        <f aca="false">IF($K52="","",IF(INDEX(Checklists!$K:$K,$K52)="","",INDEX(Checklists!$K:$K,$K52)))</f>
        <v/>
      </c>
      <c r="I52" s="13" t="str">
        <f aca="false">IF($K52="","",IF(INDEX(Checklists!$L:$L,$K52)="","",INDEX(Checklists!$L:$L,$K52)))</f>
        <v/>
      </c>
      <c r="K52" s="1" t="str">
        <f aca="false">IFERROR(MATCH(ROWS($K$4:$K52),Checklists!$N$2:$N$291,0)+1,"")</f>
        <v/>
      </c>
    </row>
    <row r="53" customFormat="false" ht="15" hidden="false" customHeight="true" outlineLevel="0" collapsed="false">
      <c r="A53" s="13" t="str">
        <f aca="false">IF($K53="","",ROWS($K$4:$K53))</f>
        <v/>
      </c>
      <c r="B53" s="13" t="str">
        <f aca="false">IF($K53="","",IF(INDEX(Checklists!$A:$A,$K53)="","",INDEX(Checklists!$A:$A,$K53)))</f>
        <v/>
      </c>
      <c r="C53" s="13" t="str">
        <f aca="false">IF($K53="","",IF(INDEX(Checklists!$B:$B,$K53)="","",INDEX(Checklists!$B:$B,$K53)))</f>
        <v/>
      </c>
      <c r="D53" s="11" t="str">
        <f aca="false">IF($K53="","",IF(INDEX(Checklists!$E:$E,$K53)="","",INDEX(Checklists!$E:$E,$K53)))</f>
        <v/>
      </c>
      <c r="E53" s="11" t="str">
        <f aca="false">IF($K53="","",IF(INDEX(Checklists!$H:$H,$K53)="","",INDEX(Checklists!$H:$H,$K53)))</f>
        <v/>
      </c>
      <c r="F53" s="11" t="str">
        <f aca="false">IF($K53="","",IF(INDEX(Checklists!$I:$I,$K53)="","",INDEX(Checklists!$I:$I,$K53)))</f>
        <v/>
      </c>
      <c r="G53" s="13" t="str">
        <f aca="false">IF($K53="","",IF(INDEX(Checklists!$J:$J,$K53)="","",INDEX(Checklists!$J:$J,$K53)))</f>
        <v/>
      </c>
      <c r="H53" s="26" t="str">
        <f aca="false">IF($K53="","",IF(INDEX(Checklists!$K:$K,$K53)="","",INDEX(Checklists!$K:$K,$K53)))</f>
        <v/>
      </c>
      <c r="I53" s="13" t="str">
        <f aca="false">IF($K53="","",IF(INDEX(Checklists!$L:$L,$K53)="","",INDEX(Checklists!$L:$L,$K53)))</f>
        <v/>
      </c>
      <c r="K53" s="1" t="str">
        <f aca="false">IFERROR(MATCH(ROWS($K$4:$K53),Checklists!$N$2:$N$291,0)+1,"")</f>
        <v/>
      </c>
    </row>
    <row r="54" customFormat="false" ht="15" hidden="false" customHeight="true" outlineLevel="0" collapsed="false">
      <c r="A54" s="13" t="str">
        <f aca="false">IF($K54="","",ROWS($K$4:$K54))</f>
        <v/>
      </c>
      <c r="B54" s="13" t="str">
        <f aca="false">IF($K54="","",IF(INDEX(Checklists!$A:$A,$K54)="","",INDEX(Checklists!$A:$A,$K54)))</f>
        <v/>
      </c>
      <c r="C54" s="13" t="str">
        <f aca="false">IF($K54="","",IF(INDEX(Checklists!$B:$B,$K54)="","",INDEX(Checklists!$B:$B,$K54)))</f>
        <v/>
      </c>
      <c r="D54" s="11" t="str">
        <f aca="false">IF($K54="","",IF(INDEX(Checklists!$E:$E,$K54)="","",INDEX(Checklists!$E:$E,$K54)))</f>
        <v/>
      </c>
      <c r="E54" s="11" t="str">
        <f aca="false">IF($K54="","",IF(INDEX(Checklists!$H:$H,$K54)="","",INDEX(Checklists!$H:$H,$K54)))</f>
        <v/>
      </c>
      <c r="F54" s="11" t="str">
        <f aca="false">IF($K54="","",IF(INDEX(Checklists!$I:$I,$K54)="","",INDEX(Checklists!$I:$I,$K54)))</f>
        <v/>
      </c>
      <c r="G54" s="13" t="str">
        <f aca="false">IF($K54="","",IF(INDEX(Checklists!$J:$J,$K54)="","",INDEX(Checklists!$J:$J,$K54)))</f>
        <v/>
      </c>
      <c r="H54" s="26" t="str">
        <f aca="false">IF($K54="","",IF(INDEX(Checklists!$K:$K,$K54)="","",INDEX(Checklists!$K:$K,$K54)))</f>
        <v/>
      </c>
      <c r="I54" s="13" t="str">
        <f aca="false">IF($K54="","",IF(INDEX(Checklists!$L:$L,$K54)="","",INDEX(Checklists!$L:$L,$K54)))</f>
        <v/>
      </c>
      <c r="K54" s="1" t="str">
        <f aca="false">IFERROR(MATCH(ROWS($K$4:$K54),Checklists!$N$2:$N$291,0)+1,"")</f>
        <v/>
      </c>
    </row>
    <row r="55" customFormat="false" ht="15" hidden="false" customHeight="true" outlineLevel="0" collapsed="false">
      <c r="A55" s="13" t="str">
        <f aca="false">IF($K55="","",ROWS($K$4:$K55))</f>
        <v/>
      </c>
      <c r="B55" s="13" t="str">
        <f aca="false">IF($K55="","",IF(INDEX(Checklists!$A:$A,$K55)="","",INDEX(Checklists!$A:$A,$K55)))</f>
        <v/>
      </c>
      <c r="C55" s="13" t="str">
        <f aca="false">IF($K55="","",IF(INDEX(Checklists!$B:$B,$K55)="","",INDEX(Checklists!$B:$B,$K55)))</f>
        <v/>
      </c>
      <c r="D55" s="11" t="str">
        <f aca="false">IF($K55="","",IF(INDEX(Checklists!$E:$E,$K55)="","",INDEX(Checklists!$E:$E,$K55)))</f>
        <v/>
      </c>
      <c r="E55" s="11" t="str">
        <f aca="false">IF($K55="","",IF(INDEX(Checklists!$H:$H,$K55)="","",INDEX(Checklists!$H:$H,$K55)))</f>
        <v/>
      </c>
      <c r="F55" s="11" t="str">
        <f aca="false">IF($K55="","",IF(INDEX(Checklists!$I:$I,$K55)="","",INDEX(Checklists!$I:$I,$K55)))</f>
        <v/>
      </c>
      <c r="G55" s="13" t="str">
        <f aca="false">IF($K55="","",IF(INDEX(Checklists!$J:$J,$K55)="","",INDEX(Checklists!$J:$J,$K55)))</f>
        <v/>
      </c>
      <c r="H55" s="26" t="str">
        <f aca="false">IF($K55="","",IF(INDEX(Checklists!$K:$K,$K55)="","",INDEX(Checklists!$K:$K,$K55)))</f>
        <v/>
      </c>
      <c r="I55" s="13" t="str">
        <f aca="false">IF($K55="","",IF(INDEX(Checklists!$L:$L,$K55)="","",INDEX(Checklists!$L:$L,$K55)))</f>
        <v/>
      </c>
      <c r="K55" s="1" t="str">
        <f aca="false">IFERROR(MATCH(ROWS($K$4:$K55),Checklists!$N$2:$N$291,0)+1,"")</f>
        <v/>
      </c>
    </row>
    <row r="56" customFormat="false" ht="15" hidden="false" customHeight="true" outlineLevel="0" collapsed="false">
      <c r="A56" s="13" t="str">
        <f aca="false">IF($K56="","",ROWS($K$4:$K56))</f>
        <v/>
      </c>
      <c r="B56" s="13" t="str">
        <f aca="false">IF($K56="","",IF(INDEX(Checklists!$A:$A,$K56)="","",INDEX(Checklists!$A:$A,$K56)))</f>
        <v/>
      </c>
      <c r="C56" s="13" t="str">
        <f aca="false">IF($K56="","",IF(INDEX(Checklists!$B:$B,$K56)="","",INDEX(Checklists!$B:$B,$K56)))</f>
        <v/>
      </c>
      <c r="D56" s="11" t="str">
        <f aca="false">IF($K56="","",IF(INDEX(Checklists!$E:$E,$K56)="","",INDEX(Checklists!$E:$E,$K56)))</f>
        <v/>
      </c>
      <c r="E56" s="11" t="str">
        <f aca="false">IF($K56="","",IF(INDEX(Checklists!$H:$H,$K56)="","",INDEX(Checklists!$H:$H,$K56)))</f>
        <v/>
      </c>
      <c r="F56" s="11" t="str">
        <f aca="false">IF($K56="","",IF(INDEX(Checklists!$I:$I,$K56)="","",INDEX(Checklists!$I:$I,$K56)))</f>
        <v/>
      </c>
      <c r="G56" s="13" t="str">
        <f aca="false">IF($K56="","",IF(INDEX(Checklists!$J:$J,$K56)="","",INDEX(Checklists!$J:$J,$K56)))</f>
        <v/>
      </c>
      <c r="H56" s="26" t="str">
        <f aca="false">IF($K56="","",IF(INDEX(Checklists!$K:$K,$K56)="","",INDEX(Checklists!$K:$K,$K56)))</f>
        <v/>
      </c>
      <c r="I56" s="13" t="str">
        <f aca="false">IF($K56="","",IF(INDEX(Checklists!$L:$L,$K56)="","",INDEX(Checklists!$L:$L,$K56)))</f>
        <v/>
      </c>
      <c r="K56" s="1" t="str">
        <f aca="false">IFERROR(MATCH(ROWS($K$4:$K56),Checklists!$N$2:$N$291,0)+1,"")</f>
        <v/>
      </c>
    </row>
    <row r="57" customFormat="false" ht="15" hidden="false" customHeight="true" outlineLevel="0" collapsed="false">
      <c r="A57" s="13" t="str">
        <f aca="false">IF($K57="","",ROWS($K$4:$K57))</f>
        <v/>
      </c>
      <c r="B57" s="13" t="str">
        <f aca="false">IF($K57="","",IF(INDEX(Checklists!$A:$A,$K57)="","",INDEX(Checklists!$A:$A,$K57)))</f>
        <v/>
      </c>
      <c r="C57" s="13" t="str">
        <f aca="false">IF($K57="","",IF(INDEX(Checklists!$B:$B,$K57)="","",INDEX(Checklists!$B:$B,$K57)))</f>
        <v/>
      </c>
      <c r="D57" s="11" t="str">
        <f aca="false">IF($K57="","",IF(INDEX(Checklists!$E:$E,$K57)="","",INDEX(Checklists!$E:$E,$K57)))</f>
        <v/>
      </c>
      <c r="E57" s="11" t="str">
        <f aca="false">IF($K57="","",IF(INDEX(Checklists!$H:$H,$K57)="","",INDEX(Checklists!$H:$H,$K57)))</f>
        <v/>
      </c>
      <c r="F57" s="11" t="str">
        <f aca="false">IF($K57="","",IF(INDEX(Checklists!$I:$I,$K57)="","",INDEX(Checklists!$I:$I,$K57)))</f>
        <v/>
      </c>
      <c r="G57" s="13" t="str">
        <f aca="false">IF($K57="","",IF(INDEX(Checklists!$J:$J,$K57)="","",INDEX(Checklists!$J:$J,$K57)))</f>
        <v/>
      </c>
      <c r="H57" s="26" t="str">
        <f aca="false">IF($K57="","",IF(INDEX(Checklists!$K:$K,$K57)="","",INDEX(Checklists!$K:$K,$K57)))</f>
        <v/>
      </c>
      <c r="I57" s="13" t="str">
        <f aca="false">IF($K57="","",IF(INDEX(Checklists!$L:$L,$K57)="","",INDEX(Checklists!$L:$L,$K57)))</f>
        <v/>
      </c>
      <c r="K57" s="1" t="str">
        <f aca="false">IFERROR(MATCH(ROWS($K$4:$K57),Checklists!$N$2:$N$291,0)+1,"")</f>
        <v/>
      </c>
    </row>
    <row r="58" customFormat="false" ht="15" hidden="false" customHeight="true" outlineLevel="0" collapsed="false">
      <c r="A58" s="13" t="str">
        <f aca="false">IF($K58="","",ROWS($K$4:$K58))</f>
        <v/>
      </c>
      <c r="B58" s="13" t="str">
        <f aca="false">IF($K58="","",IF(INDEX(Checklists!$A:$A,$K58)="","",INDEX(Checklists!$A:$A,$K58)))</f>
        <v/>
      </c>
      <c r="C58" s="13" t="str">
        <f aca="false">IF($K58="","",IF(INDEX(Checklists!$B:$B,$K58)="","",INDEX(Checklists!$B:$B,$K58)))</f>
        <v/>
      </c>
      <c r="D58" s="11" t="str">
        <f aca="false">IF($K58="","",IF(INDEX(Checklists!$E:$E,$K58)="","",INDEX(Checklists!$E:$E,$K58)))</f>
        <v/>
      </c>
      <c r="E58" s="11" t="str">
        <f aca="false">IF($K58="","",IF(INDEX(Checklists!$H:$H,$K58)="","",INDEX(Checklists!$H:$H,$K58)))</f>
        <v/>
      </c>
      <c r="F58" s="11" t="str">
        <f aca="false">IF($K58="","",IF(INDEX(Checklists!$I:$I,$K58)="","",INDEX(Checklists!$I:$I,$K58)))</f>
        <v/>
      </c>
      <c r="G58" s="13" t="str">
        <f aca="false">IF($K58="","",IF(INDEX(Checklists!$J:$J,$K58)="","",INDEX(Checklists!$J:$J,$K58)))</f>
        <v/>
      </c>
      <c r="H58" s="26" t="str">
        <f aca="false">IF($K58="","",IF(INDEX(Checklists!$K:$K,$K58)="","",INDEX(Checklists!$K:$K,$K58)))</f>
        <v/>
      </c>
      <c r="I58" s="13" t="str">
        <f aca="false">IF($K58="","",IF(INDEX(Checklists!$L:$L,$K58)="","",INDEX(Checklists!$L:$L,$K58)))</f>
        <v/>
      </c>
      <c r="K58" s="1" t="str">
        <f aca="false">IFERROR(MATCH(ROWS($K$4:$K58),Checklists!$N$2:$N$291,0)+1,"")</f>
        <v/>
      </c>
    </row>
    <row r="59" customFormat="false" ht="15" hidden="false" customHeight="true" outlineLevel="0" collapsed="false">
      <c r="A59" s="13" t="str">
        <f aca="false">IF($K59="","",ROWS($K$4:$K59))</f>
        <v/>
      </c>
      <c r="B59" s="13" t="str">
        <f aca="false">IF($K59="","",IF(INDEX(Checklists!$A:$A,$K59)="","",INDEX(Checklists!$A:$A,$K59)))</f>
        <v/>
      </c>
      <c r="C59" s="13" t="str">
        <f aca="false">IF($K59="","",IF(INDEX(Checklists!$B:$B,$K59)="","",INDEX(Checklists!$B:$B,$K59)))</f>
        <v/>
      </c>
      <c r="D59" s="11" t="str">
        <f aca="false">IF($K59="","",IF(INDEX(Checklists!$E:$E,$K59)="","",INDEX(Checklists!$E:$E,$K59)))</f>
        <v/>
      </c>
      <c r="E59" s="11" t="str">
        <f aca="false">IF($K59="","",IF(INDEX(Checklists!$H:$H,$K59)="","",INDEX(Checklists!$H:$H,$K59)))</f>
        <v/>
      </c>
      <c r="F59" s="11" t="str">
        <f aca="false">IF($K59="","",IF(INDEX(Checklists!$I:$I,$K59)="","",INDEX(Checklists!$I:$I,$K59)))</f>
        <v/>
      </c>
      <c r="G59" s="13" t="str">
        <f aca="false">IF($K59="","",IF(INDEX(Checklists!$J:$J,$K59)="","",INDEX(Checklists!$J:$J,$K59)))</f>
        <v/>
      </c>
      <c r="H59" s="26" t="str">
        <f aca="false">IF($K59="","",IF(INDEX(Checklists!$K:$K,$K59)="","",INDEX(Checklists!$K:$K,$K59)))</f>
        <v/>
      </c>
      <c r="I59" s="13" t="str">
        <f aca="false">IF($K59="","",IF(INDEX(Checklists!$L:$L,$K59)="","",INDEX(Checklists!$L:$L,$K59)))</f>
        <v/>
      </c>
      <c r="K59" s="1" t="str">
        <f aca="false">IFERROR(MATCH(ROWS($K$4:$K59),Checklists!$N$2:$N$291,0)+1,"")</f>
        <v/>
      </c>
    </row>
    <row r="60" customFormat="false" ht="15" hidden="false" customHeight="true" outlineLevel="0" collapsed="false">
      <c r="A60" s="13" t="str">
        <f aca="false">IF($K60="","",ROWS($K$4:$K60))</f>
        <v/>
      </c>
      <c r="B60" s="13" t="str">
        <f aca="false">IF($K60="","",IF(INDEX(Checklists!$A:$A,$K60)="","",INDEX(Checklists!$A:$A,$K60)))</f>
        <v/>
      </c>
      <c r="C60" s="13" t="str">
        <f aca="false">IF($K60="","",IF(INDEX(Checklists!$B:$B,$K60)="","",INDEX(Checklists!$B:$B,$K60)))</f>
        <v/>
      </c>
      <c r="D60" s="11" t="str">
        <f aca="false">IF($K60="","",IF(INDEX(Checklists!$E:$E,$K60)="","",INDEX(Checklists!$E:$E,$K60)))</f>
        <v/>
      </c>
      <c r="E60" s="11" t="str">
        <f aca="false">IF($K60="","",IF(INDEX(Checklists!$H:$H,$K60)="","",INDEX(Checklists!$H:$H,$K60)))</f>
        <v/>
      </c>
      <c r="F60" s="11" t="str">
        <f aca="false">IF($K60="","",IF(INDEX(Checklists!$I:$I,$K60)="","",INDEX(Checklists!$I:$I,$K60)))</f>
        <v/>
      </c>
      <c r="G60" s="13" t="str">
        <f aca="false">IF($K60="","",IF(INDEX(Checklists!$J:$J,$K60)="","",INDEX(Checklists!$J:$J,$K60)))</f>
        <v/>
      </c>
      <c r="H60" s="26" t="str">
        <f aca="false">IF($K60="","",IF(INDEX(Checklists!$K:$K,$K60)="","",INDEX(Checklists!$K:$K,$K60)))</f>
        <v/>
      </c>
      <c r="I60" s="13" t="str">
        <f aca="false">IF($K60="","",IF(INDEX(Checklists!$L:$L,$K60)="","",INDEX(Checklists!$L:$L,$K60)))</f>
        <v/>
      </c>
      <c r="K60" s="1" t="str">
        <f aca="false">IFERROR(MATCH(ROWS($K$4:$K60),Checklists!$N$2:$N$291,0)+1,"")</f>
        <v/>
      </c>
    </row>
    <row r="61" customFormat="false" ht="15" hidden="false" customHeight="true" outlineLevel="0" collapsed="false">
      <c r="A61" s="13" t="str">
        <f aca="false">IF($K61="","",ROWS($K$4:$K61))</f>
        <v/>
      </c>
      <c r="B61" s="13" t="str">
        <f aca="false">IF($K61="","",IF(INDEX(Checklists!$A:$A,$K61)="","",INDEX(Checklists!$A:$A,$K61)))</f>
        <v/>
      </c>
      <c r="C61" s="13" t="str">
        <f aca="false">IF($K61="","",IF(INDEX(Checklists!$B:$B,$K61)="","",INDEX(Checklists!$B:$B,$K61)))</f>
        <v/>
      </c>
      <c r="D61" s="11" t="str">
        <f aca="false">IF($K61="","",IF(INDEX(Checklists!$E:$E,$K61)="","",INDEX(Checklists!$E:$E,$K61)))</f>
        <v/>
      </c>
      <c r="E61" s="11" t="str">
        <f aca="false">IF($K61="","",IF(INDEX(Checklists!$H:$H,$K61)="","",INDEX(Checklists!$H:$H,$K61)))</f>
        <v/>
      </c>
      <c r="F61" s="11" t="str">
        <f aca="false">IF($K61="","",IF(INDEX(Checklists!$I:$I,$K61)="","",INDEX(Checklists!$I:$I,$K61)))</f>
        <v/>
      </c>
      <c r="G61" s="13" t="str">
        <f aca="false">IF($K61="","",IF(INDEX(Checklists!$J:$J,$K61)="","",INDEX(Checklists!$J:$J,$K61)))</f>
        <v/>
      </c>
      <c r="H61" s="26" t="str">
        <f aca="false">IF($K61="","",IF(INDEX(Checklists!$K:$K,$K61)="","",INDEX(Checklists!$K:$K,$K61)))</f>
        <v/>
      </c>
      <c r="I61" s="13" t="str">
        <f aca="false">IF($K61="","",IF(INDEX(Checklists!$L:$L,$K61)="","",INDEX(Checklists!$L:$L,$K61)))</f>
        <v/>
      </c>
      <c r="K61" s="1" t="str">
        <f aca="false">IFERROR(MATCH(ROWS($K$4:$K61),Checklists!$N$2:$N$291,0)+1,"")</f>
        <v/>
      </c>
    </row>
    <row r="62" customFormat="false" ht="15" hidden="false" customHeight="true" outlineLevel="0" collapsed="false">
      <c r="A62" s="13" t="str">
        <f aca="false">IF($K62="","",ROWS($K$4:$K62))</f>
        <v/>
      </c>
      <c r="B62" s="13" t="str">
        <f aca="false">IF($K62="","",IF(INDEX(Checklists!$A:$A,$K62)="","",INDEX(Checklists!$A:$A,$K62)))</f>
        <v/>
      </c>
      <c r="C62" s="13" t="str">
        <f aca="false">IF($K62="","",IF(INDEX(Checklists!$B:$B,$K62)="","",INDEX(Checklists!$B:$B,$K62)))</f>
        <v/>
      </c>
      <c r="D62" s="11" t="str">
        <f aca="false">IF($K62="","",IF(INDEX(Checklists!$E:$E,$K62)="","",INDEX(Checklists!$E:$E,$K62)))</f>
        <v/>
      </c>
      <c r="E62" s="11" t="str">
        <f aca="false">IF($K62="","",IF(INDEX(Checklists!$H:$H,$K62)="","",INDEX(Checklists!$H:$H,$K62)))</f>
        <v/>
      </c>
      <c r="F62" s="11" t="str">
        <f aca="false">IF($K62="","",IF(INDEX(Checklists!$I:$I,$K62)="","",INDEX(Checklists!$I:$I,$K62)))</f>
        <v/>
      </c>
      <c r="G62" s="13" t="str">
        <f aca="false">IF($K62="","",IF(INDEX(Checklists!$J:$J,$K62)="","",INDEX(Checklists!$J:$J,$K62)))</f>
        <v/>
      </c>
      <c r="H62" s="26" t="str">
        <f aca="false">IF($K62="","",IF(INDEX(Checklists!$K:$K,$K62)="","",INDEX(Checklists!$K:$K,$K62)))</f>
        <v/>
      </c>
      <c r="I62" s="13" t="str">
        <f aca="false">IF($K62="","",IF(INDEX(Checklists!$L:$L,$K62)="","",INDEX(Checklists!$L:$L,$K62)))</f>
        <v/>
      </c>
      <c r="K62" s="1" t="str">
        <f aca="false">IFERROR(MATCH(ROWS($K$4:$K62),Checklists!$N$2:$N$291,0)+1,"")</f>
        <v/>
      </c>
    </row>
    <row r="63" customFormat="false" ht="15" hidden="false" customHeight="true" outlineLevel="0" collapsed="false">
      <c r="A63" s="13" t="str">
        <f aca="false">IF($K63="","",ROWS($K$4:$K63))</f>
        <v/>
      </c>
      <c r="B63" s="13" t="str">
        <f aca="false">IF($K63="","",IF(INDEX(Checklists!$A:$A,$K63)="","",INDEX(Checklists!$A:$A,$K63)))</f>
        <v/>
      </c>
      <c r="C63" s="13" t="str">
        <f aca="false">IF($K63="","",IF(INDEX(Checklists!$B:$B,$K63)="","",INDEX(Checklists!$B:$B,$K63)))</f>
        <v/>
      </c>
      <c r="D63" s="11" t="str">
        <f aca="false">IF($K63="","",IF(INDEX(Checklists!$E:$E,$K63)="","",INDEX(Checklists!$E:$E,$K63)))</f>
        <v/>
      </c>
      <c r="E63" s="11" t="str">
        <f aca="false">IF($K63="","",IF(INDEX(Checklists!$H:$H,$K63)="","",INDEX(Checklists!$H:$H,$K63)))</f>
        <v/>
      </c>
      <c r="F63" s="11" t="str">
        <f aca="false">IF($K63="","",IF(INDEX(Checklists!$I:$I,$K63)="","",INDEX(Checklists!$I:$I,$K63)))</f>
        <v/>
      </c>
      <c r="G63" s="13" t="str">
        <f aca="false">IF($K63="","",IF(INDEX(Checklists!$J:$J,$K63)="","",INDEX(Checklists!$J:$J,$K63)))</f>
        <v/>
      </c>
      <c r="H63" s="26" t="str">
        <f aca="false">IF($K63="","",IF(INDEX(Checklists!$K:$K,$K63)="","",INDEX(Checklists!$K:$K,$K63)))</f>
        <v/>
      </c>
      <c r="I63" s="13" t="str">
        <f aca="false">IF($K63="","",IF(INDEX(Checklists!$L:$L,$K63)="","",INDEX(Checklists!$L:$L,$K63)))</f>
        <v/>
      </c>
      <c r="K63" s="1" t="str">
        <f aca="false">IFERROR(MATCH(ROWS($K$4:$K63),Checklists!$N$2:$N$291,0)+1,"")</f>
        <v/>
      </c>
    </row>
    <row r="64" customFormat="false" ht="15" hidden="false" customHeight="true" outlineLevel="0" collapsed="false">
      <c r="A64" s="13" t="str">
        <f aca="false">IF($K64="","",ROWS($K$4:$K64))</f>
        <v/>
      </c>
      <c r="B64" s="13" t="str">
        <f aca="false">IF($K64="","",IF(INDEX(Checklists!$A:$A,$K64)="","",INDEX(Checklists!$A:$A,$K64)))</f>
        <v/>
      </c>
      <c r="C64" s="13" t="str">
        <f aca="false">IF($K64="","",IF(INDEX(Checklists!$B:$B,$K64)="","",INDEX(Checklists!$B:$B,$K64)))</f>
        <v/>
      </c>
      <c r="D64" s="11" t="str">
        <f aca="false">IF($K64="","",IF(INDEX(Checklists!$E:$E,$K64)="","",INDEX(Checklists!$E:$E,$K64)))</f>
        <v/>
      </c>
      <c r="E64" s="11" t="str">
        <f aca="false">IF($K64="","",IF(INDEX(Checklists!$H:$H,$K64)="","",INDEX(Checklists!$H:$H,$K64)))</f>
        <v/>
      </c>
      <c r="F64" s="11" t="str">
        <f aca="false">IF($K64="","",IF(INDEX(Checklists!$I:$I,$K64)="","",INDEX(Checklists!$I:$I,$K64)))</f>
        <v/>
      </c>
      <c r="G64" s="13" t="str">
        <f aca="false">IF($K64="","",IF(INDEX(Checklists!$J:$J,$K64)="","",INDEX(Checklists!$J:$J,$K64)))</f>
        <v/>
      </c>
      <c r="H64" s="26" t="str">
        <f aca="false">IF($K64="","",IF(INDEX(Checklists!$K:$K,$K64)="","",INDEX(Checklists!$K:$K,$K64)))</f>
        <v/>
      </c>
      <c r="I64" s="13" t="str">
        <f aca="false">IF($K64="","",IF(INDEX(Checklists!$L:$L,$K64)="","",INDEX(Checklists!$L:$L,$K64)))</f>
        <v/>
      </c>
      <c r="K64" s="1" t="str">
        <f aca="false">IFERROR(MATCH(ROWS($K$4:$K64),Checklists!$N$2:$N$291,0)+1,"")</f>
        <v/>
      </c>
    </row>
    <row r="65" customFormat="false" ht="15" hidden="false" customHeight="true" outlineLevel="0" collapsed="false">
      <c r="A65" s="13" t="str">
        <f aca="false">IF($K65="","",ROWS($K$4:$K65))</f>
        <v/>
      </c>
      <c r="B65" s="13" t="str">
        <f aca="false">IF($K65="","",IF(INDEX(Checklists!$A:$A,$K65)="","",INDEX(Checklists!$A:$A,$K65)))</f>
        <v/>
      </c>
      <c r="C65" s="13" t="str">
        <f aca="false">IF($K65="","",IF(INDEX(Checklists!$B:$B,$K65)="","",INDEX(Checklists!$B:$B,$K65)))</f>
        <v/>
      </c>
      <c r="D65" s="11" t="str">
        <f aca="false">IF($K65="","",IF(INDEX(Checklists!$E:$E,$K65)="","",INDEX(Checklists!$E:$E,$K65)))</f>
        <v/>
      </c>
      <c r="E65" s="11" t="str">
        <f aca="false">IF($K65="","",IF(INDEX(Checklists!$H:$H,$K65)="","",INDEX(Checklists!$H:$H,$K65)))</f>
        <v/>
      </c>
      <c r="F65" s="11" t="str">
        <f aca="false">IF($K65="","",IF(INDEX(Checklists!$I:$I,$K65)="","",INDEX(Checklists!$I:$I,$K65)))</f>
        <v/>
      </c>
      <c r="G65" s="13" t="str">
        <f aca="false">IF($K65="","",IF(INDEX(Checklists!$J:$J,$K65)="","",INDEX(Checklists!$J:$J,$K65)))</f>
        <v/>
      </c>
      <c r="H65" s="26" t="str">
        <f aca="false">IF($K65="","",IF(INDEX(Checklists!$K:$K,$K65)="","",INDEX(Checklists!$K:$K,$K65)))</f>
        <v/>
      </c>
      <c r="I65" s="13" t="str">
        <f aca="false">IF($K65="","",IF(INDEX(Checklists!$L:$L,$K65)="","",INDEX(Checklists!$L:$L,$K65)))</f>
        <v/>
      </c>
      <c r="K65" s="1" t="str">
        <f aca="false">IFERROR(MATCH(ROWS($K$4:$K65),Checklists!$N$2:$N$291,0)+1,"")</f>
        <v/>
      </c>
    </row>
    <row r="66" customFormat="false" ht="15" hidden="false" customHeight="true" outlineLevel="0" collapsed="false">
      <c r="A66" s="13" t="str">
        <f aca="false">IF($K66="","",ROWS($K$4:$K66))</f>
        <v/>
      </c>
      <c r="B66" s="13" t="str">
        <f aca="false">IF($K66="","",IF(INDEX(Checklists!$A:$A,$K66)="","",INDEX(Checklists!$A:$A,$K66)))</f>
        <v/>
      </c>
      <c r="C66" s="13" t="str">
        <f aca="false">IF($K66="","",IF(INDEX(Checklists!$B:$B,$K66)="","",INDEX(Checklists!$B:$B,$K66)))</f>
        <v/>
      </c>
      <c r="D66" s="11" t="str">
        <f aca="false">IF($K66="","",IF(INDEX(Checklists!$E:$E,$K66)="","",INDEX(Checklists!$E:$E,$K66)))</f>
        <v/>
      </c>
      <c r="E66" s="11" t="str">
        <f aca="false">IF($K66="","",IF(INDEX(Checklists!$H:$H,$K66)="","",INDEX(Checklists!$H:$H,$K66)))</f>
        <v/>
      </c>
      <c r="F66" s="11" t="str">
        <f aca="false">IF($K66="","",IF(INDEX(Checklists!$I:$I,$K66)="","",INDEX(Checklists!$I:$I,$K66)))</f>
        <v/>
      </c>
      <c r="G66" s="13" t="str">
        <f aca="false">IF($K66="","",IF(INDEX(Checklists!$J:$J,$K66)="","",INDEX(Checklists!$J:$J,$K66)))</f>
        <v/>
      </c>
      <c r="H66" s="26" t="str">
        <f aca="false">IF($K66="","",IF(INDEX(Checklists!$K:$K,$K66)="","",INDEX(Checklists!$K:$K,$K66)))</f>
        <v/>
      </c>
      <c r="I66" s="13" t="str">
        <f aca="false">IF($K66="","",IF(INDEX(Checklists!$L:$L,$K66)="","",INDEX(Checklists!$L:$L,$K66)))</f>
        <v/>
      </c>
      <c r="K66" s="1" t="str">
        <f aca="false">IFERROR(MATCH(ROWS($K$4:$K66),Checklists!$N$2:$N$291,0)+1,"")</f>
        <v/>
      </c>
    </row>
    <row r="67" customFormat="false" ht="15" hidden="false" customHeight="true" outlineLevel="0" collapsed="false">
      <c r="A67" s="13" t="str">
        <f aca="false">IF($K67="","",ROWS($K$4:$K67))</f>
        <v/>
      </c>
      <c r="B67" s="13" t="str">
        <f aca="false">IF($K67="","",IF(INDEX(Checklists!$A:$A,$K67)="","",INDEX(Checklists!$A:$A,$K67)))</f>
        <v/>
      </c>
      <c r="C67" s="13" t="str">
        <f aca="false">IF($K67="","",IF(INDEX(Checklists!$B:$B,$K67)="","",INDEX(Checklists!$B:$B,$K67)))</f>
        <v/>
      </c>
      <c r="D67" s="11" t="str">
        <f aca="false">IF($K67="","",IF(INDEX(Checklists!$E:$E,$K67)="","",INDEX(Checklists!$E:$E,$K67)))</f>
        <v/>
      </c>
      <c r="E67" s="11" t="str">
        <f aca="false">IF($K67="","",IF(INDEX(Checklists!$H:$H,$K67)="","",INDEX(Checklists!$H:$H,$K67)))</f>
        <v/>
      </c>
      <c r="F67" s="11" t="str">
        <f aca="false">IF($K67="","",IF(INDEX(Checklists!$I:$I,$K67)="","",INDEX(Checklists!$I:$I,$K67)))</f>
        <v/>
      </c>
      <c r="G67" s="13" t="str">
        <f aca="false">IF($K67="","",IF(INDEX(Checklists!$J:$J,$K67)="","",INDEX(Checklists!$J:$J,$K67)))</f>
        <v/>
      </c>
      <c r="H67" s="26" t="str">
        <f aca="false">IF($K67="","",IF(INDEX(Checklists!$K:$K,$K67)="","",INDEX(Checklists!$K:$K,$K67)))</f>
        <v/>
      </c>
      <c r="I67" s="13" t="str">
        <f aca="false">IF($K67="","",IF(INDEX(Checklists!$L:$L,$K67)="","",INDEX(Checklists!$L:$L,$K67)))</f>
        <v/>
      </c>
      <c r="K67" s="1" t="str">
        <f aca="false">IFERROR(MATCH(ROWS($K$4:$K67),Checklists!$N$2:$N$291,0)+1,"")</f>
        <v/>
      </c>
    </row>
    <row r="68" customFormat="false" ht="15" hidden="false" customHeight="true" outlineLevel="0" collapsed="false">
      <c r="A68" s="13" t="str">
        <f aca="false">IF($K68="","",ROWS($K$4:$K68))</f>
        <v/>
      </c>
      <c r="B68" s="13" t="str">
        <f aca="false">IF($K68="","",IF(INDEX(Checklists!$A:$A,$K68)="","",INDEX(Checklists!$A:$A,$K68)))</f>
        <v/>
      </c>
      <c r="C68" s="13" t="str">
        <f aca="false">IF($K68="","",IF(INDEX(Checklists!$B:$B,$K68)="","",INDEX(Checklists!$B:$B,$K68)))</f>
        <v/>
      </c>
      <c r="D68" s="11" t="str">
        <f aca="false">IF($K68="","",IF(INDEX(Checklists!$E:$E,$K68)="","",INDEX(Checklists!$E:$E,$K68)))</f>
        <v/>
      </c>
      <c r="E68" s="11" t="str">
        <f aca="false">IF($K68="","",IF(INDEX(Checklists!$H:$H,$K68)="","",INDEX(Checklists!$H:$H,$K68)))</f>
        <v/>
      </c>
      <c r="F68" s="11" t="str">
        <f aca="false">IF($K68="","",IF(INDEX(Checklists!$I:$I,$K68)="","",INDEX(Checklists!$I:$I,$K68)))</f>
        <v/>
      </c>
      <c r="G68" s="13" t="str">
        <f aca="false">IF($K68="","",IF(INDEX(Checklists!$J:$J,$K68)="","",INDEX(Checklists!$J:$J,$K68)))</f>
        <v/>
      </c>
      <c r="H68" s="26" t="str">
        <f aca="false">IF($K68="","",IF(INDEX(Checklists!$K:$K,$K68)="","",INDEX(Checklists!$K:$K,$K68)))</f>
        <v/>
      </c>
      <c r="I68" s="13" t="str">
        <f aca="false">IF($K68="","",IF(INDEX(Checklists!$L:$L,$K68)="","",INDEX(Checklists!$L:$L,$K68)))</f>
        <v/>
      </c>
      <c r="K68" s="1" t="str">
        <f aca="false">IFERROR(MATCH(ROWS($K$4:$K68),Checklists!$N$2:$N$291,0)+1,"")</f>
        <v/>
      </c>
    </row>
    <row r="69" customFormat="false" ht="15" hidden="false" customHeight="true" outlineLevel="0" collapsed="false">
      <c r="A69" s="13" t="str">
        <f aca="false">IF($K69="","",ROWS($K$4:$K69))</f>
        <v/>
      </c>
      <c r="B69" s="13" t="str">
        <f aca="false">IF($K69="","",IF(INDEX(Checklists!$A:$A,$K69)="","",INDEX(Checklists!$A:$A,$K69)))</f>
        <v/>
      </c>
      <c r="C69" s="13" t="str">
        <f aca="false">IF($K69="","",IF(INDEX(Checklists!$B:$B,$K69)="","",INDEX(Checklists!$B:$B,$K69)))</f>
        <v/>
      </c>
      <c r="D69" s="11" t="str">
        <f aca="false">IF($K69="","",IF(INDEX(Checklists!$E:$E,$K69)="","",INDEX(Checklists!$E:$E,$K69)))</f>
        <v/>
      </c>
      <c r="E69" s="11" t="str">
        <f aca="false">IF($K69="","",IF(INDEX(Checklists!$H:$H,$K69)="","",INDEX(Checklists!$H:$H,$K69)))</f>
        <v/>
      </c>
      <c r="F69" s="11" t="str">
        <f aca="false">IF($K69="","",IF(INDEX(Checklists!$I:$I,$K69)="","",INDEX(Checklists!$I:$I,$K69)))</f>
        <v/>
      </c>
      <c r="G69" s="13" t="str">
        <f aca="false">IF($K69="","",IF(INDEX(Checklists!$J:$J,$K69)="","",INDEX(Checklists!$J:$J,$K69)))</f>
        <v/>
      </c>
      <c r="H69" s="26" t="str">
        <f aca="false">IF($K69="","",IF(INDEX(Checklists!$K:$K,$K69)="","",INDEX(Checklists!$K:$K,$K69)))</f>
        <v/>
      </c>
      <c r="I69" s="13" t="str">
        <f aca="false">IF($K69="","",IF(INDEX(Checklists!$L:$L,$K69)="","",INDEX(Checklists!$L:$L,$K69)))</f>
        <v/>
      </c>
      <c r="K69" s="1" t="str">
        <f aca="false">IFERROR(MATCH(ROWS($K$4:$K69),Checklists!$N$2:$N$291,0)+1,"")</f>
        <v/>
      </c>
    </row>
    <row r="70" customFormat="false" ht="15" hidden="false" customHeight="true" outlineLevel="0" collapsed="false">
      <c r="A70" s="13" t="str">
        <f aca="false">IF($K70="","",ROWS($K$4:$K70))</f>
        <v/>
      </c>
      <c r="B70" s="13" t="str">
        <f aca="false">IF($K70="","",IF(INDEX(Checklists!$A:$A,$K70)="","",INDEX(Checklists!$A:$A,$K70)))</f>
        <v/>
      </c>
      <c r="C70" s="13" t="str">
        <f aca="false">IF($K70="","",IF(INDEX(Checklists!$B:$B,$K70)="","",INDEX(Checklists!$B:$B,$K70)))</f>
        <v/>
      </c>
      <c r="D70" s="11" t="str">
        <f aca="false">IF($K70="","",IF(INDEX(Checklists!$E:$E,$K70)="","",INDEX(Checklists!$E:$E,$K70)))</f>
        <v/>
      </c>
      <c r="E70" s="11" t="str">
        <f aca="false">IF($K70="","",IF(INDEX(Checklists!$H:$H,$K70)="","",INDEX(Checklists!$H:$H,$K70)))</f>
        <v/>
      </c>
      <c r="F70" s="11" t="str">
        <f aca="false">IF($K70="","",IF(INDEX(Checklists!$I:$I,$K70)="","",INDEX(Checklists!$I:$I,$K70)))</f>
        <v/>
      </c>
      <c r="G70" s="13" t="str">
        <f aca="false">IF($K70="","",IF(INDEX(Checklists!$J:$J,$K70)="","",INDEX(Checklists!$J:$J,$K70)))</f>
        <v/>
      </c>
      <c r="H70" s="26" t="str">
        <f aca="false">IF($K70="","",IF(INDEX(Checklists!$K:$K,$K70)="","",INDEX(Checklists!$K:$K,$K70)))</f>
        <v/>
      </c>
      <c r="I70" s="13" t="str">
        <f aca="false">IF($K70="","",IF(INDEX(Checklists!$L:$L,$K70)="","",INDEX(Checklists!$L:$L,$K70)))</f>
        <v/>
      </c>
      <c r="K70" s="1" t="str">
        <f aca="false">IFERROR(MATCH(ROWS($K$4:$K70),Checklists!$N$2:$N$291,0)+1,"")</f>
        <v/>
      </c>
    </row>
    <row r="71" customFormat="false" ht="15" hidden="false" customHeight="true" outlineLevel="0" collapsed="false">
      <c r="A71" s="13" t="str">
        <f aca="false">IF($K71="","",ROWS($K$4:$K71))</f>
        <v/>
      </c>
      <c r="B71" s="13" t="str">
        <f aca="false">IF($K71="","",IF(INDEX(Checklists!$A:$A,$K71)="","",INDEX(Checklists!$A:$A,$K71)))</f>
        <v/>
      </c>
      <c r="C71" s="13" t="str">
        <f aca="false">IF($K71="","",IF(INDEX(Checklists!$B:$B,$K71)="","",INDEX(Checklists!$B:$B,$K71)))</f>
        <v/>
      </c>
      <c r="D71" s="11" t="str">
        <f aca="false">IF($K71="","",IF(INDEX(Checklists!$E:$E,$K71)="","",INDEX(Checklists!$E:$E,$K71)))</f>
        <v/>
      </c>
      <c r="E71" s="11" t="str">
        <f aca="false">IF($K71="","",IF(INDEX(Checklists!$H:$H,$K71)="","",INDEX(Checklists!$H:$H,$K71)))</f>
        <v/>
      </c>
      <c r="F71" s="11" t="str">
        <f aca="false">IF($K71="","",IF(INDEX(Checklists!$I:$I,$K71)="","",INDEX(Checklists!$I:$I,$K71)))</f>
        <v/>
      </c>
      <c r="G71" s="13" t="str">
        <f aca="false">IF($K71="","",IF(INDEX(Checklists!$J:$J,$K71)="","",INDEX(Checklists!$J:$J,$K71)))</f>
        <v/>
      </c>
      <c r="H71" s="26" t="str">
        <f aca="false">IF($K71="","",IF(INDEX(Checklists!$K:$K,$K71)="","",INDEX(Checklists!$K:$K,$K71)))</f>
        <v/>
      </c>
      <c r="I71" s="13" t="str">
        <f aca="false">IF($K71="","",IF(INDEX(Checklists!$L:$L,$K71)="","",INDEX(Checklists!$L:$L,$K71)))</f>
        <v/>
      </c>
      <c r="K71" s="1" t="str">
        <f aca="false">IFERROR(MATCH(ROWS($K$4:$K71),Checklists!$N$2:$N$291,0)+1,"")</f>
        <v/>
      </c>
    </row>
    <row r="72" customFormat="false" ht="15" hidden="false" customHeight="true" outlineLevel="0" collapsed="false">
      <c r="A72" s="13" t="str">
        <f aca="false">IF($K72="","",ROWS($K$4:$K72))</f>
        <v/>
      </c>
      <c r="B72" s="13" t="str">
        <f aca="false">IF($K72="","",IF(INDEX(Checklists!$A:$A,$K72)="","",INDEX(Checklists!$A:$A,$K72)))</f>
        <v/>
      </c>
      <c r="C72" s="13" t="str">
        <f aca="false">IF($K72="","",IF(INDEX(Checklists!$B:$B,$K72)="","",INDEX(Checklists!$B:$B,$K72)))</f>
        <v/>
      </c>
      <c r="D72" s="11" t="str">
        <f aca="false">IF($K72="","",IF(INDEX(Checklists!$E:$E,$K72)="","",INDEX(Checklists!$E:$E,$K72)))</f>
        <v/>
      </c>
      <c r="E72" s="11" t="str">
        <f aca="false">IF($K72="","",IF(INDEX(Checklists!$H:$H,$K72)="","",INDEX(Checklists!$H:$H,$K72)))</f>
        <v/>
      </c>
      <c r="F72" s="11" t="str">
        <f aca="false">IF($K72="","",IF(INDEX(Checklists!$I:$I,$K72)="","",INDEX(Checklists!$I:$I,$K72)))</f>
        <v/>
      </c>
      <c r="G72" s="13" t="str">
        <f aca="false">IF($K72="","",IF(INDEX(Checklists!$J:$J,$K72)="","",INDEX(Checklists!$J:$J,$K72)))</f>
        <v/>
      </c>
      <c r="H72" s="26" t="str">
        <f aca="false">IF($K72="","",IF(INDEX(Checklists!$K:$K,$K72)="","",INDEX(Checklists!$K:$K,$K72)))</f>
        <v/>
      </c>
      <c r="I72" s="13" t="str">
        <f aca="false">IF($K72="","",IF(INDEX(Checklists!$L:$L,$K72)="","",INDEX(Checklists!$L:$L,$K72)))</f>
        <v/>
      </c>
      <c r="K72" s="1" t="str">
        <f aca="false">IFERROR(MATCH(ROWS($K$4:$K72),Checklists!$N$2:$N$291,0)+1,"")</f>
        <v/>
      </c>
    </row>
    <row r="73" customFormat="false" ht="15" hidden="false" customHeight="true" outlineLevel="0" collapsed="false">
      <c r="A73" s="13" t="str">
        <f aca="false">IF($K73="","",ROWS($K$4:$K73))</f>
        <v/>
      </c>
      <c r="B73" s="13" t="str">
        <f aca="false">IF($K73="","",IF(INDEX(Checklists!$A:$A,$K73)="","",INDEX(Checklists!$A:$A,$K73)))</f>
        <v/>
      </c>
      <c r="C73" s="13" t="str">
        <f aca="false">IF($K73="","",IF(INDEX(Checklists!$B:$B,$K73)="","",INDEX(Checklists!$B:$B,$K73)))</f>
        <v/>
      </c>
      <c r="D73" s="11" t="str">
        <f aca="false">IF($K73="","",IF(INDEX(Checklists!$E:$E,$K73)="","",INDEX(Checklists!$E:$E,$K73)))</f>
        <v/>
      </c>
      <c r="E73" s="11" t="str">
        <f aca="false">IF($K73="","",IF(INDEX(Checklists!$H:$H,$K73)="","",INDEX(Checklists!$H:$H,$K73)))</f>
        <v/>
      </c>
      <c r="F73" s="11" t="str">
        <f aca="false">IF($K73="","",IF(INDEX(Checklists!$I:$I,$K73)="","",INDEX(Checklists!$I:$I,$K73)))</f>
        <v/>
      </c>
      <c r="G73" s="13" t="str">
        <f aca="false">IF($K73="","",IF(INDEX(Checklists!$J:$J,$K73)="","",INDEX(Checklists!$J:$J,$K73)))</f>
        <v/>
      </c>
      <c r="H73" s="26" t="str">
        <f aca="false">IF($K73="","",IF(INDEX(Checklists!$K:$K,$K73)="","",INDEX(Checklists!$K:$K,$K73)))</f>
        <v/>
      </c>
      <c r="I73" s="13" t="str">
        <f aca="false">IF($K73="","",IF(INDEX(Checklists!$L:$L,$K73)="","",INDEX(Checklists!$L:$L,$K73)))</f>
        <v/>
      </c>
      <c r="K73" s="1" t="str">
        <f aca="false">IFERROR(MATCH(ROWS($K$4:$K73),Checklists!$N$2:$N$291,0)+1,"")</f>
        <v/>
      </c>
    </row>
    <row r="74" customFormat="false" ht="15" hidden="false" customHeight="true" outlineLevel="0" collapsed="false">
      <c r="A74" s="13" t="str">
        <f aca="false">IF($K74="","",ROWS($K$4:$K74))</f>
        <v/>
      </c>
      <c r="B74" s="13" t="str">
        <f aca="false">IF($K74="","",IF(INDEX(Checklists!$A:$A,$K74)="","",INDEX(Checklists!$A:$A,$K74)))</f>
        <v/>
      </c>
      <c r="C74" s="13" t="str">
        <f aca="false">IF($K74="","",IF(INDEX(Checklists!$B:$B,$K74)="","",INDEX(Checklists!$B:$B,$K74)))</f>
        <v/>
      </c>
      <c r="D74" s="11" t="str">
        <f aca="false">IF($K74="","",IF(INDEX(Checklists!$E:$E,$K74)="","",INDEX(Checklists!$E:$E,$K74)))</f>
        <v/>
      </c>
      <c r="E74" s="11" t="str">
        <f aca="false">IF($K74="","",IF(INDEX(Checklists!$H:$H,$K74)="","",INDEX(Checklists!$H:$H,$K74)))</f>
        <v/>
      </c>
      <c r="F74" s="11" t="str">
        <f aca="false">IF($K74="","",IF(INDEX(Checklists!$I:$I,$K74)="","",INDEX(Checklists!$I:$I,$K74)))</f>
        <v/>
      </c>
      <c r="G74" s="13" t="str">
        <f aca="false">IF($K74="","",IF(INDEX(Checklists!$J:$J,$K74)="","",INDEX(Checklists!$J:$J,$K74)))</f>
        <v/>
      </c>
      <c r="H74" s="26" t="str">
        <f aca="false">IF($K74="","",IF(INDEX(Checklists!$K:$K,$K74)="","",INDEX(Checklists!$K:$K,$K74)))</f>
        <v/>
      </c>
      <c r="I74" s="13" t="str">
        <f aca="false">IF($K74="","",IF(INDEX(Checklists!$L:$L,$K74)="","",INDEX(Checklists!$L:$L,$K74)))</f>
        <v/>
      </c>
      <c r="K74" s="1" t="str">
        <f aca="false">IFERROR(MATCH(ROWS($K$4:$K74),Checklists!$N$2:$N$291,0)+1,"")</f>
        <v/>
      </c>
    </row>
    <row r="75" customFormat="false" ht="15" hidden="false" customHeight="true" outlineLevel="0" collapsed="false">
      <c r="A75" s="13" t="str">
        <f aca="false">IF($K75="","",ROWS($K$4:$K75))</f>
        <v/>
      </c>
      <c r="B75" s="13" t="str">
        <f aca="false">IF($K75="","",IF(INDEX(Checklists!$A:$A,$K75)="","",INDEX(Checklists!$A:$A,$K75)))</f>
        <v/>
      </c>
      <c r="C75" s="13" t="str">
        <f aca="false">IF($K75="","",IF(INDEX(Checklists!$B:$B,$K75)="","",INDEX(Checklists!$B:$B,$K75)))</f>
        <v/>
      </c>
      <c r="D75" s="11" t="str">
        <f aca="false">IF($K75="","",IF(INDEX(Checklists!$E:$E,$K75)="","",INDEX(Checklists!$E:$E,$K75)))</f>
        <v/>
      </c>
      <c r="E75" s="11" t="str">
        <f aca="false">IF($K75="","",IF(INDEX(Checklists!$H:$H,$K75)="","",INDEX(Checklists!$H:$H,$K75)))</f>
        <v/>
      </c>
      <c r="F75" s="11" t="str">
        <f aca="false">IF($K75="","",IF(INDEX(Checklists!$I:$I,$K75)="","",INDEX(Checklists!$I:$I,$K75)))</f>
        <v/>
      </c>
      <c r="G75" s="13" t="str">
        <f aca="false">IF($K75="","",IF(INDEX(Checklists!$J:$J,$K75)="","",INDEX(Checklists!$J:$J,$K75)))</f>
        <v/>
      </c>
      <c r="H75" s="26" t="str">
        <f aca="false">IF($K75="","",IF(INDEX(Checklists!$K:$K,$K75)="","",INDEX(Checklists!$K:$K,$K75)))</f>
        <v/>
      </c>
      <c r="I75" s="13" t="str">
        <f aca="false">IF($K75="","",IF(INDEX(Checklists!$L:$L,$K75)="","",INDEX(Checklists!$L:$L,$K75)))</f>
        <v/>
      </c>
      <c r="K75" s="1" t="str">
        <f aca="false">IFERROR(MATCH(ROWS($K$4:$K75),Checklists!$N$2:$N$291,0)+1,"")</f>
        <v/>
      </c>
    </row>
    <row r="76" customFormat="false" ht="15" hidden="false" customHeight="true" outlineLevel="0" collapsed="false">
      <c r="A76" s="13" t="str">
        <f aca="false">IF($K76="","",ROWS($K$4:$K76))</f>
        <v/>
      </c>
      <c r="B76" s="13" t="str">
        <f aca="false">IF($K76="","",IF(INDEX(Checklists!$A:$A,$K76)="","",INDEX(Checklists!$A:$A,$K76)))</f>
        <v/>
      </c>
      <c r="C76" s="13" t="str">
        <f aca="false">IF($K76="","",IF(INDEX(Checklists!$B:$B,$K76)="","",INDEX(Checklists!$B:$B,$K76)))</f>
        <v/>
      </c>
      <c r="D76" s="11" t="str">
        <f aca="false">IF($K76="","",IF(INDEX(Checklists!$E:$E,$K76)="","",INDEX(Checklists!$E:$E,$K76)))</f>
        <v/>
      </c>
      <c r="E76" s="11" t="str">
        <f aca="false">IF($K76="","",IF(INDEX(Checklists!$H:$H,$K76)="","",INDEX(Checklists!$H:$H,$K76)))</f>
        <v/>
      </c>
      <c r="F76" s="11" t="str">
        <f aca="false">IF($K76="","",IF(INDEX(Checklists!$I:$I,$K76)="","",INDEX(Checklists!$I:$I,$K76)))</f>
        <v/>
      </c>
      <c r="G76" s="13" t="str">
        <f aca="false">IF($K76="","",IF(INDEX(Checklists!$J:$J,$K76)="","",INDEX(Checklists!$J:$J,$K76)))</f>
        <v/>
      </c>
      <c r="H76" s="26" t="str">
        <f aca="false">IF($K76="","",IF(INDEX(Checklists!$K:$K,$K76)="","",INDEX(Checklists!$K:$K,$K76)))</f>
        <v/>
      </c>
      <c r="I76" s="13" t="str">
        <f aca="false">IF($K76="","",IF(INDEX(Checklists!$L:$L,$K76)="","",INDEX(Checklists!$L:$L,$K76)))</f>
        <v/>
      </c>
      <c r="K76" s="1" t="str">
        <f aca="false">IFERROR(MATCH(ROWS($K$4:$K76),Checklists!$N$2:$N$291,0)+1,"")</f>
        <v/>
      </c>
    </row>
    <row r="77" customFormat="false" ht="15" hidden="false" customHeight="true" outlineLevel="0" collapsed="false">
      <c r="A77" s="13" t="str">
        <f aca="false">IF($K77="","",ROWS($K$4:$K77))</f>
        <v/>
      </c>
      <c r="B77" s="13" t="str">
        <f aca="false">IF($K77="","",IF(INDEX(Checklists!$A:$A,$K77)="","",INDEX(Checklists!$A:$A,$K77)))</f>
        <v/>
      </c>
      <c r="C77" s="13" t="str">
        <f aca="false">IF($K77="","",IF(INDEX(Checklists!$B:$B,$K77)="","",INDEX(Checklists!$B:$B,$K77)))</f>
        <v/>
      </c>
      <c r="D77" s="11" t="str">
        <f aca="false">IF($K77="","",IF(INDEX(Checklists!$E:$E,$K77)="","",INDEX(Checklists!$E:$E,$K77)))</f>
        <v/>
      </c>
      <c r="E77" s="11" t="str">
        <f aca="false">IF($K77="","",IF(INDEX(Checklists!$H:$H,$K77)="","",INDEX(Checklists!$H:$H,$K77)))</f>
        <v/>
      </c>
      <c r="F77" s="11" t="str">
        <f aca="false">IF($K77="","",IF(INDEX(Checklists!$I:$I,$K77)="","",INDEX(Checklists!$I:$I,$K77)))</f>
        <v/>
      </c>
      <c r="G77" s="13" t="str">
        <f aca="false">IF($K77="","",IF(INDEX(Checklists!$J:$J,$K77)="","",INDEX(Checklists!$J:$J,$K77)))</f>
        <v/>
      </c>
      <c r="H77" s="26" t="str">
        <f aca="false">IF($K77="","",IF(INDEX(Checklists!$K:$K,$K77)="","",INDEX(Checklists!$K:$K,$K77)))</f>
        <v/>
      </c>
      <c r="I77" s="13" t="str">
        <f aca="false">IF($K77="","",IF(INDEX(Checklists!$L:$L,$K77)="","",INDEX(Checklists!$L:$L,$K77)))</f>
        <v/>
      </c>
      <c r="K77" s="1" t="str">
        <f aca="false">IFERROR(MATCH(ROWS($K$4:$K77),Checklists!$N$2:$N$291,0)+1,"")</f>
        <v/>
      </c>
    </row>
    <row r="78" customFormat="false" ht="15" hidden="false" customHeight="true" outlineLevel="0" collapsed="false">
      <c r="A78" s="13" t="str">
        <f aca="false">IF($K78="","",ROWS($K$4:$K78))</f>
        <v/>
      </c>
      <c r="B78" s="13" t="str">
        <f aca="false">IF($K78="","",IF(INDEX(Checklists!$A:$A,$K78)="","",INDEX(Checklists!$A:$A,$K78)))</f>
        <v/>
      </c>
      <c r="C78" s="13" t="str">
        <f aca="false">IF($K78="","",IF(INDEX(Checklists!$B:$B,$K78)="","",INDEX(Checklists!$B:$B,$K78)))</f>
        <v/>
      </c>
      <c r="D78" s="11" t="str">
        <f aca="false">IF($K78="","",IF(INDEX(Checklists!$E:$E,$K78)="","",INDEX(Checklists!$E:$E,$K78)))</f>
        <v/>
      </c>
      <c r="E78" s="11" t="str">
        <f aca="false">IF($K78="","",IF(INDEX(Checklists!$H:$H,$K78)="","",INDEX(Checklists!$H:$H,$K78)))</f>
        <v/>
      </c>
      <c r="F78" s="11" t="str">
        <f aca="false">IF($K78="","",IF(INDEX(Checklists!$I:$I,$K78)="","",INDEX(Checklists!$I:$I,$K78)))</f>
        <v/>
      </c>
      <c r="G78" s="13" t="str">
        <f aca="false">IF($K78="","",IF(INDEX(Checklists!$J:$J,$K78)="","",INDEX(Checklists!$J:$J,$K78)))</f>
        <v/>
      </c>
      <c r="H78" s="26" t="str">
        <f aca="false">IF($K78="","",IF(INDEX(Checklists!$K:$K,$K78)="","",INDEX(Checklists!$K:$K,$K78)))</f>
        <v/>
      </c>
      <c r="I78" s="13" t="str">
        <f aca="false">IF($K78="","",IF(INDEX(Checklists!$L:$L,$K78)="","",INDEX(Checklists!$L:$L,$K78)))</f>
        <v/>
      </c>
      <c r="K78" s="1" t="str">
        <f aca="false">IFERROR(MATCH(ROWS($K$4:$K78),Checklists!$N$2:$N$291,0)+1,"")</f>
        <v/>
      </c>
    </row>
    <row r="79" customFormat="false" ht="15" hidden="false" customHeight="true" outlineLevel="0" collapsed="false">
      <c r="A79" s="13" t="str">
        <f aca="false">IF($K79="","",ROWS($K$4:$K79))</f>
        <v/>
      </c>
      <c r="B79" s="13" t="str">
        <f aca="false">IF($K79="","",IF(INDEX(Checklists!$A:$A,$K79)="","",INDEX(Checklists!$A:$A,$K79)))</f>
        <v/>
      </c>
      <c r="C79" s="13" t="str">
        <f aca="false">IF($K79="","",IF(INDEX(Checklists!$B:$B,$K79)="","",INDEX(Checklists!$B:$B,$K79)))</f>
        <v/>
      </c>
      <c r="D79" s="11" t="str">
        <f aca="false">IF($K79="","",IF(INDEX(Checklists!$E:$E,$K79)="","",INDEX(Checklists!$E:$E,$K79)))</f>
        <v/>
      </c>
      <c r="E79" s="11" t="str">
        <f aca="false">IF($K79="","",IF(INDEX(Checklists!$H:$H,$K79)="","",INDEX(Checklists!$H:$H,$K79)))</f>
        <v/>
      </c>
      <c r="F79" s="11" t="str">
        <f aca="false">IF($K79="","",IF(INDEX(Checklists!$I:$I,$K79)="","",INDEX(Checklists!$I:$I,$K79)))</f>
        <v/>
      </c>
      <c r="G79" s="13" t="str">
        <f aca="false">IF($K79="","",IF(INDEX(Checklists!$J:$J,$K79)="","",INDEX(Checklists!$J:$J,$K79)))</f>
        <v/>
      </c>
      <c r="H79" s="26" t="str">
        <f aca="false">IF($K79="","",IF(INDEX(Checklists!$K:$K,$K79)="","",INDEX(Checklists!$K:$K,$K79)))</f>
        <v/>
      </c>
      <c r="I79" s="13" t="str">
        <f aca="false">IF($K79="","",IF(INDEX(Checklists!$L:$L,$K79)="","",INDEX(Checklists!$L:$L,$K79)))</f>
        <v/>
      </c>
      <c r="K79" s="1" t="str">
        <f aca="false">IFERROR(MATCH(ROWS($K$4:$K79),Checklists!$N$2:$N$291,0)+1,"")</f>
        <v/>
      </c>
    </row>
    <row r="80" customFormat="false" ht="15" hidden="false" customHeight="true" outlineLevel="0" collapsed="false">
      <c r="A80" s="13" t="str">
        <f aca="false">IF($K80="","",ROWS($K$4:$K80))</f>
        <v/>
      </c>
      <c r="B80" s="13" t="str">
        <f aca="false">IF($K80="","",IF(INDEX(Checklists!$A:$A,$K80)="","",INDEX(Checklists!$A:$A,$K80)))</f>
        <v/>
      </c>
      <c r="C80" s="13" t="str">
        <f aca="false">IF($K80="","",IF(INDEX(Checklists!$B:$B,$K80)="","",INDEX(Checklists!$B:$B,$K80)))</f>
        <v/>
      </c>
      <c r="D80" s="11" t="str">
        <f aca="false">IF($K80="","",IF(INDEX(Checklists!$E:$E,$K80)="","",INDEX(Checklists!$E:$E,$K80)))</f>
        <v/>
      </c>
      <c r="E80" s="11" t="str">
        <f aca="false">IF($K80="","",IF(INDEX(Checklists!$H:$H,$K80)="","",INDEX(Checklists!$H:$H,$K80)))</f>
        <v/>
      </c>
      <c r="F80" s="11" t="str">
        <f aca="false">IF($K80="","",IF(INDEX(Checklists!$I:$I,$K80)="","",INDEX(Checklists!$I:$I,$K80)))</f>
        <v/>
      </c>
      <c r="G80" s="13" t="str">
        <f aca="false">IF($K80="","",IF(INDEX(Checklists!$J:$J,$K80)="","",INDEX(Checklists!$J:$J,$K80)))</f>
        <v/>
      </c>
      <c r="H80" s="26" t="str">
        <f aca="false">IF($K80="","",IF(INDEX(Checklists!$K:$K,$K80)="","",INDEX(Checklists!$K:$K,$K80)))</f>
        <v/>
      </c>
      <c r="I80" s="13" t="str">
        <f aca="false">IF($K80="","",IF(INDEX(Checklists!$L:$L,$K80)="","",INDEX(Checklists!$L:$L,$K80)))</f>
        <v/>
      </c>
      <c r="K80" s="1" t="str">
        <f aca="false">IFERROR(MATCH(ROWS($K$4:$K80),Checklists!$N$2:$N$291,0)+1,"")</f>
        <v/>
      </c>
    </row>
    <row r="81" customFormat="false" ht="15" hidden="false" customHeight="true" outlineLevel="0" collapsed="false">
      <c r="A81" s="13" t="str">
        <f aca="false">IF($K81="","",ROWS($K$4:$K81))</f>
        <v/>
      </c>
      <c r="B81" s="13" t="str">
        <f aca="false">IF($K81="","",IF(INDEX(Checklists!$A:$A,$K81)="","",INDEX(Checklists!$A:$A,$K81)))</f>
        <v/>
      </c>
      <c r="C81" s="13" t="str">
        <f aca="false">IF($K81="","",IF(INDEX(Checklists!$B:$B,$K81)="","",INDEX(Checklists!$B:$B,$K81)))</f>
        <v/>
      </c>
      <c r="D81" s="11" t="str">
        <f aca="false">IF($K81="","",IF(INDEX(Checklists!$E:$E,$K81)="","",INDEX(Checklists!$E:$E,$K81)))</f>
        <v/>
      </c>
      <c r="E81" s="11" t="str">
        <f aca="false">IF($K81="","",IF(INDEX(Checklists!$H:$H,$K81)="","",INDEX(Checklists!$H:$H,$K81)))</f>
        <v/>
      </c>
      <c r="F81" s="11" t="str">
        <f aca="false">IF($K81="","",IF(INDEX(Checklists!$I:$I,$K81)="","",INDEX(Checklists!$I:$I,$K81)))</f>
        <v/>
      </c>
      <c r="G81" s="13" t="str">
        <f aca="false">IF($K81="","",IF(INDEX(Checklists!$J:$J,$K81)="","",INDEX(Checklists!$J:$J,$K81)))</f>
        <v/>
      </c>
      <c r="H81" s="26" t="str">
        <f aca="false">IF($K81="","",IF(INDEX(Checklists!$K:$K,$K81)="","",INDEX(Checklists!$K:$K,$K81)))</f>
        <v/>
      </c>
      <c r="I81" s="13" t="str">
        <f aca="false">IF($K81="","",IF(INDEX(Checklists!$L:$L,$K81)="","",INDEX(Checklists!$L:$L,$K81)))</f>
        <v/>
      </c>
      <c r="K81" s="1" t="str">
        <f aca="false">IFERROR(MATCH(ROWS($K$4:$K81),Checklists!$N$2:$N$291,0)+1,"")</f>
        <v/>
      </c>
    </row>
    <row r="82" customFormat="false" ht="15" hidden="false" customHeight="true" outlineLevel="0" collapsed="false">
      <c r="A82" s="13" t="str">
        <f aca="false">IF($K82="","",ROWS($K$4:$K82))</f>
        <v/>
      </c>
      <c r="B82" s="13" t="str">
        <f aca="false">IF($K82="","",IF(INDEX(Checklists!$A:$A,$K82)="","",INDEX(Checklists!$A:$A,$K82)))</f>
        <v/>
      </c>
      <c r="C82" s="13" t="str">
        <f aca="false">IF($K82="","",IF(INDEX(Checklists!$B:$B,$K82)="","",INDEX(Checklists!$B:$B,$K82)))</f>
        <v/>
      </c>
      <c r="D82" s="11" t="str">
        <f aca="false">IF($K82="","",IF(INDEX(Checklists!$E:$E,$K82)="","",INDEX(Checklists!$E:$E,$K82)))</f>
        <v/>
      </c>
      <c r="E82" s="11" t="str">
        <f aca="false">IF($K82="","",IF(INDEX(Checklists!$H:$H,$K82)="","",INDEX(Checklists!$H:$H,$K82)))</f>
        <v/>
      </c>
      <c r="F82" s="11" t="str">
        <f aca="false">IF($K82="","",IF(INDEX(Checklists!$I:$I,$K82)="","",INDEX(Checklists!$I:$I,$K82)))</f>
        <v/>
      </c>
      <c r="G82" s="13" t="str">
        <f aca="false">IF($K82="","",IF(INDEX(Checklists!$J:$J,$K82)="","",INDEX(Checklists!$J:$J,$K82)))</f>
        <v/>
      </c>
      <c r="H82" s="26" t="str">
        <f aca="false">IF($K82="","",IF(INDEX(Checklists!$K:$K,$K82)="","",INDEX(Checklists!$K:$K,$K82)))</f>
        <v/>
      </c>
      <c r="I82" s="13" t="str">
        <f aca="false">IF($K82="","",IF(INDEX(Checklists!$L:$L,$K82)="","",INDEX(Checklists!$L:$L,$K82)))</f>
        <v/>
      </c>
      <c r="K82" s="1" t="str">
        <f aca="false">IFERROR(MATCH(ROWS($K$4:$K82),Checklists!$N$2:$N$291,0)+1,"")</f>
        <v/>
      </c>
    </row>
    <row r="83" customFormat="false" ht="15" hidden="false" customHeight="true" outlineLevel="0" collapsed="false">
      <c r="A83" s="13" t="str">
        <f aca="false">IF($K83="","",ROWS($K$4:$K83))</f>
        <v/>
      </c>
      <c r="B83" s="13" t="str">
        <f aca="false">IF($K83="","",IF(INDEX(Checklists!$A:$A,$K83)="","",INDEX(Checklists!$A:$A,$K83)))</f>
        <v/>
      </c>
      <c r="C83" s="13" t="str">
        <f aca="false">IF($K83="","",IF(INDEX(Checklists!$B:$B,$K83)="","",INDEX(Checklists!$B:$B,$K83)))</f>
        <v/>
      </c>
      <c r="D83" s="11" t="str">
        <f aca="false">IF($K83="","",IF(INDEX(Checklists!$E:$E,$K83)="","",INDEX(Checklists!$E:$E,$K83)))</f>
        <v/>
      </c>
      <c r="E83" s="11" t="str">
        <f aca="false">IF($K83="","",IF(INDEX(Checklists!$H:$H,$K83)="","",INDEX(Checklists!$H:$H,$K83)))</f>
        <v/>
      </c>
      <c r="F83" s="11" t="str">
        <f aca="false">IF($K83="","",IF(INDEX(Checklists!$I:$I,$K83)="","",INDEX(Checklists!$I:$I,$K83)))</f>
        <v/>
      </c>
      <c r="G83" s="13" t="str">
        <f aca="false">IF($K83="","",IF(INDEX(Checklists!$J:$J,$K83)="","",INDEX(Checklists!$J:$J,$K83)))</f>
        <v/>
      </c>
      <c r="H83" s="26" t="str">
        <f aca="false">IF($K83="","",IF(INDEX(Checklists!$K:$K,$K83)="","",INDEX(Checklists!$K:$K,$K83)))</f>
        <v/>
      </c>
      <c r="I83" s="13" t="str">
        <f aca="false">IF($K83="","",IF(INDEX(Checklists!$L:$L,$K83)="","",INDEX(Checklists!$L:$L,$K83)))</f>
        <v/>
      </c>
      <c r="K83" s="1" t="str">
        <f aca="false">IFERROR(MATCH(ROWS($K$4:$K83),Checklists!$N$2:$N$291,0)+1,"")</f>
        <v/>
      </c>
    </row>
    <row r="84" customFormat="false" ht="15" hidden="false" customHeight="true" outlineLevel="0" collapsed="false">
      <c r="A84" s="13" t="str">
        <f aca="false">IF($K84="","",ROWS($K$4:$K84))</f>
        <v/>
      </c>
      <c r="B84" s="13" t="str">
        <f aca="false">IF($K84="","",IF(INDEX(Checklists!$A:$A,$K84)="","",INDEX(Checklists!$A:$A,$K84)))</f>
        <v/>
      </c>
      <c r="C84" s="13" t="str">
        <f aca="false">IF($K84="","",IF(INDEX(Checklists!$B:$B,$K84)="","",INDEX(Checklists!$B:$B,$K84)))</f>
        <v/>
      </c>
      <c r="D84" s="11" t="str">
        <f aca="false">IF($K84="","",IF(INDEX(Checklists!$E:$E,$K84)="","",INDEX(Checklists!$E:$E,$K84)))</f>
        <v/>
      </c>
      <c r="E84" s="11" t="str">
        <f aca="false">IF($K84="","",IF(INDEX(Checklists!$H:$H,$K84)="","",INDEX(Checklists!$H:$H,$K84)))</f>
        <v/>
      </c>
      <c r="F84" s="11" t="str">
        <f aca="false">IF($K84="","",IF(INDEX(Checklists!$I:$I,$K84)="","",INDEX(Checklists!$I:$I,$K84)))</f>
        <v/>
      </c>
      <c r="G84" s="13" t="str">
        <f aca="false">IF($K84="","",IF(INDEX(Checklists!$J:$J,$K84)="","",INDEX(Checklists!$J:$J,$K84)))</f>
        <v/>
      </c>
      <c r="H84" s="26" t="str">
        <f aca="false">IF($K84="","",IF(INDEX(Checklists!$K:$K,$K84)="","",INDEX(Checklists!$K:$K,$K84)))</f>
        <v/>
      </c>
      <c r="I84" s="13" t="str">
        <f aca="false">IF($K84="","",IF(INDEX(Checklists!$L:$L,$K84)="","",INDEX(Checklists!$L:$L,$K84)))</f>
        <v/>
      </c>
      <c r="K84" s="1" t="str">
        <f aca="false">IFERROR(MATCH(ROWS($K$4:$K84),Checklists!$N$2:$N$291,0)+1,"")</f>
        <v/>
      </c>
    </row>
    <row r="85" customFormat="false" ht="15" hidden="false" customHeight="true" outlineLevel="0" collapsed="false">
      <c r="A85" s="13" t="str">
        <f aca="false">IF($K85="","",ROWS($K$4:$K85))</f>
        <v/>
      </c>
      <c r="B85" s="13" t="str">
        <f aca="false">IF($K85="","",IF(INDEX(Checklists!$A:$A,$K85)="","",INDEX(Checklists!$A:$A,$K85)))</f>
        <v/>
      </c>
      <c r="C85" s="13" t="str">
        <f aca="false">IF($K85="","",IF(INDEX(Checklists!$B:$B,$K85)="","",INDEX(Checklists!$B:$B,$K85)))</f>
        <v/>
      </c>
      <c r="D85" s="11" t="str">
        <f aca="false">IF($K85="","",IF(INDEX(Checklists!$E:$E,$K85)="","",INDEX(Checklists!$E:$E,$K85)))</f>
        <v/>
      </c>
      <c r="E85" s="11" t="str">
        <f aca="false">IF($K85="","",IF(INDEX(Checklists!$H:$H,$K85)="","",INDEX(Checklists!$H:$H,$K85)))</f>
        <v/>
      </c>
      <c r="F85" s="11" t="str">
        <f aca="false">IF($K85="","",IF(INDEX(Checklists!$I:$I,$K85)="","",INDEX(Checklists!$I:$I,$K85)))</f>
        <v/>
      </c>
      <c r="G85" s="13" t="str">
        <f aca="false">IF($K85="","",IF(INDEX(Checklists!$J:$J,$K85)="","",INDEX(Checklists!$J:$J,$K85)))</f>
        <v/>
      </c>
      <c r="H85" s="26" t="str">
        <f aca="false">IF($K85="","",IF(INDEX(Checklists!$K:$K,$K85)="","",INDEX(Checklists!$K:$K,$K85)))</f>
        <v/>
      </c>
      <c r="I85" s="13" t="str">
        <f aca="false">IF($K85="","",IF(INDEX(Checklists!$L:$L,$K85)="","",INDEX(Checklists!$L:$L,$K85)))</f>
        <v/>
      </c>
      <c r="K85" s="1" t="str">
        <f aca="false">IFERROR(MATCH(ROWS($K$4:$K85),Checklists!$N$2:$N$291,0)+1,"")</f>
        <v/>
      </c>
    </row>
    <row r="86" customFormat="false" ht="15" hidden="false" customHeight="true" outlineLevel="0" collapsed="false">
      <c r="A86" s="13" t="str">
        <f aca="false">IF($K86="","",ROWS($K$4:$K86))</f>
        <v/>
      </c>
      <c r="B86" s="13" t="str">
        <f aca="false">IF($K86="","",IF(INDEX(Checklists!$A:$A,$K86)="","",INDEX(Checklists!$A:$A,$K86)))</f>
        <v/>
      </c>
      <c r="C86" s="13" t="str">
        <f aca="false">IF($K86="","",IF(INDEX(Checklists!$B:$B,$K86)="","",INDEX(Checklists!$B:$B,$K86)))</f>
        <v/>
      </c>
      <c r="D86" s="11" t="str">
        <f aca="false">IF($K86="","",IF(INDEX(Checklists!$E:$E,$K86)="","",INDEX(Checklists!$E:$E,$K86)))</f>
        <v/>
      </c>
      <c r="E86" s="11" t="str">
        <f aca="false">IF($K86="","",IF(INDEX(Checklists!$H:$H,$K86)="","",INDEX(Checklists!$H:$H,$K86)))</f>
        <v/>
      </c>
      <c r="F86" s="11" t="str">
        <f aca="false">IF($K86="","",IF(INDEX(Checklists!$I:$I,$K86)="","",INDEX(Checklists!$I:$I,$K86)))</f>
        <v/>
      </c>
      <c r="G86" s="13" t="str">
        <f aca="false">IF($K86="","",IF(INDEX(Checklists!$J:$J,$K86)="","",INDEX(Checklists!$J:$J,$K86)))</f>
        <v/>
      </c>
      <c r="H86" s="26" t="str">
        <f aca="false">IF($K86="","",IF(INDEX(Checklists!$K:$K,$K86)="","",INDEX(Checklists!$K:$K,$K86)))</f>
        <v/>
      </c>
      <c r="I86" s="13" t="str">
        <f aca="false">IF($K86="","",IF(INDEX(Checklists!$L:$L,$K86)="","",INDEX(Checklists!$L:$L,$K86)))</f>
        <v/>
      </c>
      <c r="K86" s="1" t="str">
        <f aca="false">IFERROR(MATCH(ROWS($K$4:$K86),Checklists!$N$2:$N$291,0)+1,"")</f>
        <v/>
      </c>
    </row>
    <row r="87" customFormat="false" ht="15" hidden="false" customHeight="true" outlineLevel="0" collapsed="false">
      <c r="A87" s="13" t="str">
        <f aca="false">IF($K87="","",ROWS($K$4:$K87))</f>
        <v/>
      </c>
      <c r="B87" s="13" t="str">
        <f aca="false">IF($K87="","",IF(INDEX(Checklists!$A:$A,$K87)="","",INDEX(Checklists!$A:$A,$K87)))</f>
        <v/>
      </c>
      <c r="C87" s="13" t="str">
        <f aca="false">IF($K87="","",IF(INDEX(Checklists!$B:$B,$K87)="","",INDEX(Checklists!$B:$B,$K87)))</f>
        <v/>
      </c>
      <c r="D87" s="11" t="str">
        <f aca="false">IF($K87="","",IF(INDEX(Checklists!$E:$E,$K87)="","",INDEX(Checklists!$E:$E,$K87)))</f>
        <v/>
      </c>
      <c r="E87" s="11" t="str">
        <f aca="false">IF($K87="","",IF(INDEX(Checklists!$H:$H,$K87)="","",INDEX(Checklists!$H:$H,$K87)))</f>
        <v/>
      </c>
      <c r="F87" s="11" t="str">
        <f aca="false">IF($K87="","",IF(INDEX(Checklists!$I:$I,$K87)="","",INDEX(Checklists!$I:$I,$K87)))</f>
        <v/>
      </c>
      <c r="G87" s="13" t="str">
        <f aca="false">IF($K87="","",IF(INDEX(Checklists!$J:$J,$K87)="","",INDEX(Checklists!$J:$J,$K87)))</f>
        <v/>
      </c>
      <c r="H87" s="26" t="str">
        <f aca="false">IF($K87="","",IF(INDEX(Checklists!$K:$K,$K87)="","",INDEX(Checklists!$K:$K,$K87)))</f>
        <v/>
      </c>
      <c r="I87" s="13" t="str">
        <f aca="false">IF($K87="","",IF(INDEX(Checklists!$L:$L,$K87)="","",INDEX(Checklists!$L:$L,$K87)))</f>
        <v/>
      </c>
      <c r="K87" s="1" t="str">
        <f aca="false">IFERROR(MATCH(ROWS($K$4:$K87),Checklists!$N$2:$N$291,0)+1,"")</f>
        <v/>
      </c>
    </row>
    <row r="88" customFormat="false" ht="15" hidden="false" customHeight="true" outlineLevel="0" collapsed="false">
      <c r="A88" s="13" t="str">
        <f aca="false">IF($K88="","",ROWS($K$4:$K88))</f>
        <v/>
      </c>
      <c r="B88" s="13" t="str">
        <f aca="false">IF($K88="","",IF(INDEX(Checklists!$A:$A,$K88)="","",INDEX(Checklists!$A:$A,$K88)))</f>
        <v/>
      </c>
      <c r="C88" s="13" t="str">
        <f aca="false">IF($K88="","",IF(INDEX(Checklists!$B:$B,$K88)="","",INDEX(Checklists!$B:$B,$K88)))</f>
        <v/>
      </c>
      <c r="D88" s="11" t="str">
        <f aca="false">IF($K88="","",IF(INDEX(Checklists!$E:$E,$K88)="","",INDEX(Checklists!$E:$E,$K88)))</f>
        <v/>
      </c>
      <c r="E88" s="11" t="str">
        <f aca="false">IF($K88="","",IF(INDEX(Checklists!$H:$H,$K88)="","",INDEX(Checklists!$H:$H,$K88)))</f>
        <v/>
      </c>
      <c r="F88" s="11" t="str">
        <f aca="false">IF($K88="","",IF(INDEX(Checklists!$I:$I,$K88)="","",INDEX(Checklists!$I:$I,$K88)))</f>
        <v/>
      </c>
      <c r="G88" s="13" t="str">
        <f aca="false">IF($K88="","",IF(INDEX(Checklists!$J:$J,$K88)="","",INDEX(Checklists!$J:$J,$K88)))</f>
        <v/>
      </c>
      <c r="H88" s="26" t="str">
        <f aca="false">IF($K88="","",IF(INDEX(Checklists!$K:$K,$K88)="","",INDEX(Checklists!$K:$K,$K88)))</f>
        <v/>
      </c>
      <c r="I88" s="13" t="str">
        <f aca="false">IF($K88="","",IF(INDEX(Checklists!$L:$L,$K88)="","",INDEX(Checklists!$L:$L,$K88)))</f>
        <v/>
      </c>
      <c r="K88" s="1" t="str">
        <f aca="false">IFERROR(MATCH(ROWS($K$4:$K88),Checklists!$N$2:$N$291,0)+1,"")</f>
        <v/>
      </c>
    </row>
    <row r="89" customFormat="false" ht="15" hidden="false" customHeight="true" outlineLevel="0" collapsed="false">
      <c r="A89" s="13" t="str">
        <f aca="false">IF($K89="","",ROWS($K$4:$K89))</f>
        <v/>
      </c>
      <c r="B89" s="13" t="str">
        <f aca="false">IF($K89="","",IF(INDEX(Checklists!$A:$A,$K89)="","",INDEX(Checklists!$A:$A,$K89)))</f>
        <v/>
      </c>
      <c r="C89" s="13" t="str">
        <f aca="false">IF($K89="","",IF(INDEX(Checklists!$B:$B,$K89)="","",INDEX(Checklists!$B:$B,$K89)))</f>
        <v/>
      </c>
      <c r="D89" s="11" t="str">
        <f aca="false">IF($K89="","",IF(INDEX(Checklists!$E:$E,$K89)="","",INDEX(Checklists!$E:$E,$K89)))</f>
        <v/>
      </c>
      <c r="E89" s="11" t="str">
        <f aca="false">IF($K89="","",IF(INDEX(Checklists!$H:$H,$K89)="","",INDEX(Checklists!$H:$H,$K89)))</f>
        <v/>
      </c>
      <c r="F89" s="11" t="str">
        <f aca="false">IF($K89="","",IF(INDEX(Checklists!$I:$I,$K89)="","",INDEX(Checklists!$I:$I,$K89)))</f>
        <v/>
      </c>
      <c r="G89" s="13" t="str">
        <f aca="false">IF($K89="","",IF(INDEX(Checklists!$J:$J,$K89)="","",INDEX(Checklists!$J:$J,$K89)))</f>
        <v/>
      </c>
      <c r="H89" s="26" t="str">
        <f aca="false">IF($K89="","",IF(INDEX(Checklists!$K:$K,$K89)="","",INDEX(Checklists!$K:$K,$K89)))</f>
        <v/>
      </c>
      <c r="I89" s="13" t="str">
        <f aca="false">IF($K89="","",IF(INDEX(Checklists!$L:$L,$K89)="","",INDEX(Checklists!$L:$L,$K89)))</f>
        <v/>
      </c>
      <c r="K89" s="1" t="str">
        <f aca="false">IFERROR(MATCH(ROWS($K$4:$K89),Checklists!$N$2:$N$291,0)+1,"")</f>
        <v/>
      </c>
    </row>
    <row r="90" customFormat="false" ht="15" hidden="false" customHeight="true" outlineLevel="0" collapsed="false">
      <c r="A90" s="13" t="str">
        <f aca="false">IF($K90="","",ROWS($K$4:$K90))</f>
        <v/>
      </c>
      <c r="B90" s="13" t="str">
        <f aca="false">IF($K90="","",IF(INDEX(Checklists!$A:$A,$K90)="","",INDEX(Checklists!$A:$A,$K90)))</f>
        <v/>
      </c>
      <c r="C90" s="13" t="str">
        <f aca="false">IF($K90="","",IF(INDEX(Checklists!$B:$B,$K90)="","",INDEX(Checklists!$B:$B,$K90)))</f>
        <v/>
      </c>
      <c r="D90" s="11" t="str">
        <f aca="false">IF($K90="","",IF(INDEX(Checklists!$E:$E,$K90)="","",INDEX(Checklists!$E:$E,$K90)))</f>
        <v/>
      </c>
      <c r="E90" s="11" t="str">
        <f aca="false">IF($K90="","",IF(INDEX(Checklists!$H:$H,$K90)="","",INDEX(Checklists!$H:$H,$K90)))</f>
        <v/>
      </c>
      <c r="F90" s="11" t="str">
        <f aca="false">IF($K90="","",IF(INDEX(Checklists!$I:$I,$K90)="","",INDEX(Checklists!$I:$I,$K90)))</f>
        <v/>
      </c>
      <c r="G90" s="13" t="str">
        <f aca="false">IF($K90="","",IF(INDEX(Checklists!$J:$J,$K90)="","",INDEX(Checklists!$J:$J,$K90)))</f>
        <v/>
      </c>
      <c r="H90" s="26" t="str">
        <f aca="false">IF($K90="","",IF(INDEX(Checklists!$K:$K,$K90)="","",INDEX(Checklists!$K:$K,$K90)))</f>
        <v/>
      </c>
      <c r="I90" s="13" t="str">
        <f aca="false">IF($K90="","",IF(INDEX(Checklists!$L:$L,$K90)="","",INDEX(Checklists!$L:$L,$K90)))</f>
        <v/>
      </c>
      <c r="K90" s="1" t="str">
        <f aca="false">IFERROR(MATCH(ROWS($K$4:$K90),Checklists!$N$2:$N$291,0)+1,"")</f>
        <v/>
      </c>
    </row>
    <row r="91" customFormat="false" ht="15" hidden="false" customHeight="true" outlineLevel="0" collapsed="false">
      <c r="A91" s="13" t="str">
        <f aca="false">IF($K91="","",ROWS($K$4:$K91))</f>
        <v/>
      </c>
      <c r="B91" s="13" t="str">
        <f aca="false">IF($K91="","",IF(INDEX(Checklists!$A:$A,$K91)="","",INDEX(Checklists!$A:$A,$K91)))</f>
        <v/>
      </c>
      <c r="C91" s="13" t="str">
        <f aca="false">IF($K91="","",IF(INDEX(Checklists!$B:$B,$K91)="","",INDEX(Checklists!$B:$B,$K91)))</f>
        <v/>
      </c>
      <c r="D91" s="11" t="str">
        <f aca="false">IF($K91="","",IF(INDEX(Checklists!$E:$E,$K91)="","",INDEX(Checklists!$E:$E,$K91)))</f>
        <v/>
      </c>
      <c r="E91" s="11" t="str">
        <f aca="false">IF($K91="","",IF(INDEX(Checklists!$H:$H,$K91)="","",INDEX(Checklists!$H:$H,$K91)))</f>
        <v/>
      </c>
      <c r="F91" s="11" t="str">
        <f aca="false">IF($K91="","",IF(INDEX(Checklists!$I:$I,$K91)="","",INDEX(Checklists!$I:$I,$K91)))</f>
        <v/>
      </c>
      <c r="G91" s="13" t="str">
        <f aca="false">IF($K91="","",IF(INDEX(Checklists!$J:$J,$K91)="","",INDEX(Checklists!$J:$J,$K91)))</f>
        <v/>
      </c>
      <c r="H91" s="26" t="str">
        <f aca="false">IF($K91="","",IF(INDEX(Checklists!$K:$K,$K91)="","",INDEX(Checklists!$K:$K,$K91)))</f>
        <v/>
      </c>
      <c r="I91" s="13" t="str">
        <f aca="false">IF($K91="","",IF(INDEX(Checklists!$L:$L,$K91)="","",INDEX(Checklists!$L:$L,$K91)))</f>
        <v/>
      </c>
      <c r="K91" s="1" t="str">
        <f aca="false">IFERROR(MATCH(ROWS($K$4:$K91),Checklists!$N$2:$N$291,0)+1,"")</f>
        <v/>
      </c>
    </row>
    <row r="92" customFormat="false" ht="15" hidden="false" customHeight="true" outlineLevel="0" collapsed="false">
      <c r="A92" s="13" t="str">
        <f aca="false">IF($K92="","",ROWS($K$4:$K92))</f>
        <v/>
      </c>
      <c r="B92" s="13" t="str">
        <f aca="false">IF($K92="","",IF(INDEX(Checklists!$A:$A,$K92)="","",INDEX(Checklists!$A:$A,$K92)))</f>
        <v/>
      </c>
      <c r="C92" s="13" t="str">
        <f aca="false">IF($K92="","",IF(INDEX(Checklists!$B:$B,$K92)="","",INDEX(Checklists!$B:$B,$K92)))</f>
        <v/>
      </c>
      <c r="D92" s="11" t="str">
        <f aca="false">IF($K92="","",IF(INDEX(Checklists!$E:$E,$K92)="","",INDEX(Checklists!$E:$E,$K92)))</f>
        <v/>
      </c>
      <c r="E92" s="11" t="str">
        <f aca="false">IF($K92="","",IF(INDEX(Checklists!$H:$H,$K92)="","",INDEX(Checklists!$H:$H,$K92)))</f>
        <v/>
      </c>
      <c r="F92" s="11" t="str">
        <f aca="false">IF($K92="","",IF(INDEX(Checklists!$I:$I,$K92)="","",INDEX(Checklists!$I:$I,$K92)))</f>
        <v/>
      </c>
      <c r="G92" s="13" t="str">
        <f aca="false">IF($K92="","",IF(INDEX(Checklists!$J:$J,$K92)="","",INDEX(Checklists!$J:$J,$K92)))</f>
        <v/>
      </c>
      <c r="H92" s="26" t="str">
        <f aca="false">IF($K92="","",IF(INDEX(Checklists!$K:$K,$K92)="","",INDEX(Checklists!$K:$K,$K92)))</f>
        <v/>
      </c>
      <c r="I92" s="13" t="str">
        <f aca="false">IF($K92="","",IF(INDEX(Checklists!$L:$L,$K92)="","",INDEX(Checklists!$L:$L,$K92)))</f>
        <v/>
      </c>
      <c r="K92" s="1" t="str">
        <f aca="false">IFERROR(MATCH(ROWS($K$4:$K92),Checklists!$N$2:$N$291,0)+1,"")</f>
        <v/>
      </c>
    </row>
    <row r="93" customFormat="false" ht="15" hidden="false" customHeight="true" outlineLevel="0" collapsed="false">
      <c r="A93" s="13" t="str">
        <f aca="false">IF($K93="","",ROWS($K$4:$K93))</f>
        <v/>
      </c>
      <c r="B93" s="13" t="str">
        <f aca="false">IF($K93="","",IF(INDEX(Checklists!$A:$A,$K93)="","",INDEX(Checklists!$A:$A,$K93)))</f>
        <v/>
      </c>
      <c r="C93" s="13" t="str">
        <f aca="false">IF($K93="","",IF(INDEX(Checklists!$B:$B,$K93)="","",INDEX(Checklists!$B:$B,$K93)))</f>
        <v/>
      </c>
      <c r="D93" s="11" t="str">
        <f aca="false">IF($K93="","",IF(INDEX(Checklists!$E:$E,$K93)="","",INDEX(Checklists!$E:$E,$K93)))</f>
        <v/>
      </c>
      <c r="E93" s="11" t="str">
        <f aca="false">IF($K93="","",IF(INDEX(Checklists!$H:$H,$K93)="","",INDEX(Checklists!$H:$H,$K93)))</f>
        <v/>
      </c>
      <c r="F93" s="11" t="str">
        <f aca="false">IF($K93="","",IF(INDEX(Checklists!$I:$I,$K93)="","",INDEX(Checklists!$I:$I,$K93)))</f>
        <v/>
      </c>
      <c r="G93" s="13" t="str">
        <f aca="false">IF($K93="","",IF(INDEX(Checklists!$J:$J,$K93)="","",INDEX(Checklists!$J:$J,$K93)))</f>
        <v/>
      </c>
      <c r="H93" s="26" t="str">
        <f aca="false">IF($K93="","",IF(INDEX(Checklists!$K:$K,$K93)="","",INDEX(Checklists!$K:$K,$K93)))</f>
        <v/>
      </c>
      <c r="I93" s="13" t="str">
        <f aca="false">IF($K93="","",IF(INDEX(Checklists!$L:$L,$K93)="","",INDEX(Checklists!$L:$L,$K93)))</f>
        <v/>
      </c>
      <c r="K93" s="1" t="str">
        <f aca="false">IFERROR(MATCH(ROWS($K$4:$K93),Checklists!$N$2:$N$291,0)+1,"")</f>
        <v/>
      </c>
    </row>
    <row r="94" customFormat="false" ht="15" hidden="false" customHeight="true" outlineLevel="0" collapsed="false">
      <c r="A94" s="13" t="str">
        <f aca="false">IF($K94="","",ROWS($K$4:$K94))</f>
        <v/>
      </c>
      <c r="B94" s="13" t="str">
        <f aca="false">IF($K94="","",IF(INDEX(Checklists!$A:$A,$K94)="","",INDEX(Checklists!$A:$A,$K94)))</f>
        <v/>
      </c>
      <c r="C94" s="13" t="str">
        <f aca="false">IF($K94="","",IF(INDEX(Checklists!$B:$B,$K94)="","",INDEX(Checklists!$B:$B,$K94)))</f>
        <v/>
      </c>
      <c r="D94" s="11" t="str">
        <f aca="false">IF($K94="","",IF(INDEX(Checklists!$E:$E,$K94)="","",INDEX(Checklists!$E:$E,$K94)))</f>
        <v/>
      </c>
      <c r="E94" s="11" t="str">
        <f aca="false">IF($K94="","",IF(INDEX(Checklists!$H:$H,$K94)="","",INDEX(Checklists!$H:$H,$K94)))</f>
        <v/>
      </c>
      <c r="F94" s="11" t="str">
        <f aca="false">IF($K94="","",IF(INDEX(Checklists!$I:$I,$K94)="","",INDEX(Checklists!$I:$I,$K94)))</f>
        <v/>
      </c>
      <c r="G94" s="13" t="str">
        <f aca="false">IF($K94="","",IF(INDEX(Checklists!$J:$J,$K94)="","",INDEX(Checklists!$J:$J,$K94)))</f>
        <v/>
      </c>
      <c r="H94" s="26" t="str">
        <f aca="false">IF($K94="","",IF(INDEX(Checklists!$K:$K,$K94)="","",INDEX(Checklists!$K:$K,$K94)))</f>
        <v/>
      </c>
      <c r="I94" s="13" t="str">
        <f aca="false">IF($K94="","",IF(INDEX(Checklists!$L:$L,$K94)="","",INDEX(Checklists!$L:$L,$K94)))</f>
        <v/>
      </c>
      <c r="K94" s="1" t="str">
        <f aca="false">IFERROR(MATCH(ROWS($K$4:$K94),Checklists!$N$2:$N$291,0)+1,"")</f>
        <v/>
      </c>
    </row>
    <row r="95" customFormat="false" ht="15" hidden="false" customHeight="true" outlineLevel="0" collapsed="false">
      <c r="A95" s="13" t="str">
        <f aca="false">IF($K95="","",ROWS($K$4:$K95))</f>
        <v/>
      </c>
      <c r="B95" s="13" t="str">
        <f aca="false">IF($K95="","",IF(INDEX(Checklists!$A:$A,$K95)="","",INDEX(Checklists!$A:$A,$K95)))</f>
        <v/>
      </c>
      <c r="C95" s="13" t="str">
        <f aca="false">IF($K95="","",IF(INDEX(Checklists!$B:$B,$K95)="","",INDEX(Checklists!$B:$B,$K95)))</f>
        <v/>
      </c>
      <c r="D95" s="11" t="str">
        <f aca="false">IF($K95="","",IF(INDEX(Checklists!$E:$E,$K95)="","",INDEX(Checklists!$E:$E,$K95)))</f>
        <v/>
      </c>
      <c r="E95" s="11" t="str">
        <f aca="false">IF($K95="","",IF(INDEX(Checklists!$H:$H,$K95)="","",INDEX(Checklists!$H:$H,$K95)))</f>
        <v/>
      </c>
      <c r="F95" s="11" t="str">
        <f aca="false">IF($K95="","",IF(INDEX(Checklists!$I:$I,$K95)="","",INDEX(Checklists!$I:$I,$K95)))</f>
        <v/>
      </c>
      <c r="G95" s="13" t="str">
        <f aca="false">IF($K95="","",IF(INDEX(Checklists!$J:$J,$K95)="","",INDEX(Checklists!$J:$J,$K95)))</f>
        <v/>
      </c>
      <c r="H95" s="26" t="str">
        <f aca="false">IF($K95="","",IF(INDEX(Checklists!$K:$K,$K95)="","",INDEX(Checklists!$K:$K,$K95)))</f>
        <v/>
      </c>
      <c r="I95" s="13" t="str">
        <f aca="false">IF($K95="","",IF(INDEX(Checklists!$L:$L,$K95)="","",INDEX(Checklists!$L:$L,$K95)))</f>
        <v/>
      </c>
      <c r="K95" s="1" t="str">
        <f aca="false">IFERROR(MATCH(ROWS($K$4:$K95),Checklists!$N$2:$N$291,0)+1,"")</f>
        <v/>
      </c>
    </row>
    <row r="96" customFormat="false" ht="15" hidden="false" customHeight="true" outlineLevel="0" collapsed="false">
      <c r="A96" s="13" t="str">
        <f aca="false">IF($K96="","",ROWS($K$4:$K96))</f>
        <v/>
      </c>
      <c r="B96" s="13" t="str">
        <f aca="false">IF($K96="","",IF(INDEX(Checklists!$A:$A,$K96)="","",INDEX(Checklists!$A:$A,$K96)))</f>
        <v/>
      </c>
      <c r="C96" s="13" t="str">
        <f aca="false">IF($K96="","",IF(INDEX(Checklists!$B:$B,$K96)="","",INDEX(Checklists!$B:$B,$K96)))</f>
        <v/>
      </c>
      <c r="D96" s="11" t="str">
        <f aca="false">IF($K96="","",IF(INDEX(Checklists!$E:$E,$K96)="","",INDEX(Checklists!$E:$E,$K96)))</f>
        <v/>
      </c>
      <c r="E96" s="11" t="str">
        <f aca="false">IF($K96="","",IF(INDEX(Checklists!$H:$H,$K96)="","",INDEX(Checklists!$H:$H,$K96)))</f>
        <v/>
      </c>
      <c r="F96" s="11" t="str">
        <f aca="false">IF($K96="","",IF(INDEX(Checklists!$I:$I,$K96)="","",INDEX(Checklists!$I:$I,$K96)))</f>
        <v/>
      </c>
      <c r="G96" s="13" t="str">
        <f aca="false">IF($K96="","",IF(INDEX(Checklists!$J:$J,$K96)="","",INDEX(Checklists!$J:$J,$K96)))</f>
        <v/>
      </c>
      <c r="H96" s="26" t="str">
        <f aca="false">IF($K96="","",IF(INDEX(Checklists!$K:$K,$K96)="","",INDEX(Checklists!$K:$K,$K96)))</f>
        <v/>
      </c>
      <c r="I96" s="13" t="str">
        <f aca="false">IF($K96="","",IF(INDEX(Checklists!$L:$L,$K96)="","",INDEX(Checklists!$L:$L,$K96)))</f>
        <v/>
      </c>
      <c r="K96" s="1" t="str">
        <f aca="false">IFERROR(MATCH(ROWS($K$4:$K96),Checklists!$N$2:$N$291,0)+1,"")</f>
        <v/>
      </c>
    </row>
    <row r="97" customFormat="false" ht="15" hidden="false" customHeight="true" outlineLevel="0" collapsed="false">
      <c r="A97" s="13" t="str">
        <f aca="false">IF($K97="","",ROWS($K$4:$K97))</f>
        <v/>
      </c>
      <c r="B97" s="13" t="str">
        <f aca="false">IF($K97="","",IF(INDEX(Checklists!$A:$A,$K97)="","",INDEX(Checklists!$A:$A,$K97)))</f>
        <v/>
      </c>
      <c r="C97" s="13" t="str">
        <f aca="false">IF($K97="","",IF(INDEX(Checklists!$B:$B,$K97)="","",INDEX(Checklists!$B:$B,$K97)))</f>
        <v/>
      </c>
      <c r="D97" s="11" t="str">
        <f aca="false">IF($K97="","",IF(INDEX(Checklists!$E:$E,$K97)="","",INDEX(Checklists!$E:$E,$K97)))</f>
        <v/>
      </c>
      <c r="E97" s="11" t="str">
        <f aca="false">IF($K97="","",IF(INDEX(Checklists!$H:$H,$K97)="","",INDEX(Checklists!$H:$H,$K97)))</f>
        <v/>
      </c>
      <c r="F97" s="11" t="str">
        <f aca="false">IF($K97="","",IF(INDEX(Checklists!$I:$I,$K97)="","",INDEX(Checklists!$I:$I,$K97)))</f>
        <v/>
      </c>
      <c r="G97" s="13" t="str">
        <f aca="false">IF($K97="","",IF(INDEX(Checklists!$J:$J,$K97)="","",INDEX(Checklists!$J:$J,$K97)))</f>
        <v/>
      </c>
      <c r="H97" s="26" t="str">
        <f aca="false">IF($K97="","",IF(INDEX(Checklists!$K:$K,$K97)="","",INDEX(Checklists!$K:$K,$K97)))</f>
        <v/>
      </c>
      <c r="I97" s="13" t="str">
        <f aca="false">IF($K97="","",IF(INDEX(Checklists!$L:$L,$K97)="","",INDEX(Checklists!$L:$L,$K97)))</f>
        <v/>
      </c>
      <c r="K97" s="1" t="str">
        <f aca="false">IFERROR(MATCH(ROWS($K$4:$K97),Checklists!$N$2:$N$291,0)+1,"")</f>
        <v/>
      </c>
    </row>
    <row r="98" customFormat="false" ht="15" hidden="false" customHeight="true" outlineLevel="0" collapsed="false">
      <c r="A98" s="13" t="str">
        <f aca="false">IF($K98="","",ROWS($K$4:$K98))</f>
        <v/>
      </c>
      <c r="B98" s="13" t="str">
        <f aca="false">IF($K98="","",IF(INDEX(Checklists!$A:$A,$K98)="","",INDEX(Checklists!$A:$A,$K98)))</f>
        <v/>
      </c>
      <c r="C98" s="13" t="str">
        <f aca="false">IF($K98="","",IF(INDEX(Checklists!$B:$B,$K98)="","",INDEX(Checklists!$B:$B,$K98)))</f>
        <v/>
      </c>
      <c r="D98" s="11" t="str">
        <f aca="false">IF($K98="","",IF(INDEX(Checklists!$E:$E,$K98)="","",INDEX(Checklists!$E:$E,$K98)))</f>
        <v/>
      </c>
      <c r="E98" s="11" t="str">
        <f aca="false">IF($K98="","",IF(INDEX(Checklists!$H:$H,$K98)="","",INDEX(Checklists!$H:$H,$K98)))</f>
        <v/>
      </c>
      <c r="F98" s="11" t="str">
        <f aca="false">IF($K98="","",IF(INDEX(Checklists!$I:$I,$K98)="","",INDEX(Checklists!$I:$I,$K98)))</f>
        <v/>
      </c>
      <c r="G98" s="13" t="str">
        <f aca="false">IF($K98="","",IF(INDEX(Checklists!$J:$J,$K98)="","",INDEX(Checklists!$J:$J,$K98)))</f>
        <v/>
      </c>
      <c r="H98" s="26" t="str">
        <f aca="false">IF($K98="","",IF(INDEX(Checklists!$K:$K,$K98)="","",INDEX(Checklists!$K:$K,$K98)))</f>
        <v/>
      </c>
      <c r="I98" s="13" t="str">
        <f aca="false">IF($K98="","",IF(INDEX(Checklists!$L:$L,$K98)="","",INDEX(Checklists!$L:$L,$K98)))</f>
        <v/>
      </c>
      <c r="K98" s="1" t="str">
        <f aca="false">IFERROR(MATCH(ROWS($K$4:$K98),Checklists!$N$2:$N$291,0)+1,"")</f>
        <v/>
      </c>
    </row>
    <row r="99" customFormat="false" ht="15" hidden="false" customHeight="true" outlineLevel="0" collapsed="false">
      <c r="A99" s="13" t="str">
        <f aca="false">IF($K99="","",ROWS($K$4:$K99))</f>
        <v/>
      </c>
      <c r="B99" s="13" t="str">
        <f aca="false">IF($K99="","",IF(INDEX(Checklists!$A:$A,$K99)="","",INDEX(Checklists!$A:$A,$K99)))</f>
        <v/>
      </c>
      <c r="C99" s="13" t="str">
        <f aca="false">IF($K99="","",IF(INDEX(Checklists!$B:$B,$K99)="","",INDEX(Checklists!$B:$B,$K99)))</f>
        <v/>
      </c>
      <c r="D99" s="11" t="str">
        <f aca="false">IF($K99="","",IF(INDEX(Checklists!$E:$E,$K99)="","",INDEX(Checklists!$E:$E,$K99)))</f>
        <v/>
      </c>
      <c r="E99" s="11" t="str">
        <f aca="false">IF($K99="","",IF(INDEX(Checklists!$H:$H,$K99)="","",INDEX(Checklists!$H:$H,$K99)))</f>
        <v/>
      </c>
      <c r="F99" s="11" t="str">
        <f aca="false">IF($K99="","",IF(INDEX(Checklists!$I:$I,$K99)="","",INDEX(Checklists!$I:$I,$K99)))</f>
        <v/>
      </c>
      <c r="G99" s="13" t="str">
        <f aca="false">IF($K99="","",IF(INDEX(Checklists!$J:$J,$K99)="","",INDEX(Checklists!$J:$J,$K99)))</f>
        <v/>
      </c>
      <c r="H99" s="26" t="str">
        <f aca="false">IF($K99="","",IF(INDEX(Checklists!$K:$K,$K99)="","",INDEX(Checklists!$K:$K,$K99)))</f>
        <v/>
      </c>
      <c r="I99" s="13" t="str">
        <f aca="false">IF($K99="","",IF(INDEX(Checklists!$L:$L,$K99)="","",INDEX(Checklists!$L:$L,$K99)))</f>
        <v/>
      </c>
      <c r="K99" s="1" t="str">
        <f aca="false">IFERROR(MATCH(ROWS($K$4:$K99),Checklists!$N$2:$N$291,0)+1,"")</f>
        <v/>
      </c>
    </row>
    <row r="100" customFormat="false" ht="15" hidden="false" customHeight="true" outlineLevel="0" collapsed="false">
      <c r="A100" s="13" t="str">
        <f aca="false">IF($K100="","",ROWS($K$4:$K100))</f>
        <v/>
      </c>
      <c r="B100" s="13" t="str">
        <f aca="false">IF($K100="","",IF(INDEX(Checklists!$A:$A,$K100)="","",INDEX(Checklists!$A:$A,$K100)))</f>
        <v/>
      </c>
      <c r="C100" s="13" t="str">
        <f aca="false">IF($K100="","",IF(INDEX(Checklists!$B:$B,$K100)="","",INDEX(Checklists!$B:$B,$K100)))</f>
        <v/>
      </c>
      <c r="D100" s="11" t="str">
        <f aca="false">IF($K100="","",IF(INDEX(Checklists!$E:$E,$K100)="","",INDEX(Checklists!$E:$E,$K100)))</f>
        <v/>
      </c>
      <c r="E100" s="11" t="str">
        <f aca="false">IF($K100="","",IF(INDEX(Checklists!$H:$H,$K100)="","",INDEX(Checklists!$H:$H,$K100)))</f>
        <v/>
      </c>
      <c r="F100" s="11" t="str">
        <f aca="false">IF($K100="","",IF(INDEX(Checklists!$I:$I,$K100)="","",INDEX(Checklists!$I:$I,$K100)))</f>
        <v/>
      </c>
      <c r="G100" s="13" t="str">
        <f aca="false">IF($K100="","",IF(INDEX(Checklists!$J:$J,$K100)="","",INDEX(Checklists!$J:$J,$K100)))</f>
        <v/>
      </c>
      <c r="H100" s="26" t="str">
        <f aca="false">IF($K100="","",IF(INDEX(Checklists!$K:$K,$K100)="","",INDEX(Checklists!$K:$K,$K100)))</f>
        <v/>
      </c>
      <c r="I100" s="13" t="str">
        <f aca="false">IF($K100="","",IF(INDEX(Checklists!$L:$L,$K100)="","",INDEX(Checklists!$L:$L,$K100)))</f>
        <v/>
      </c>
      <c r="K100" s="1" t="str">
        <f aca="false">IFERROR(MATCH(ROWS($K$4:$K100),Checklists!$N$2:$N$291,0)+1,"")</f>
        <v/>
      </c>
    </row>
    <row r="101" customFormat="false" ht="15" hidden="false" customHeight="true" outlineLevel="0" collapsed="false">
      <c r="A101" s="13" t="str">
        <f aca="false">IF($K101="","",ROWS($K$4:$K101))</f>
        <v/>
      </c>
      <c r="B101" s="13" t="str">
        <f aca="false">IF($K101="","",IF(INDEX(Checklists!$A:$A,$K101)="","",INDEX(Checklists!$A:$A,$K101)))</f>
        <v/>
      </c>
      <c r="C101" s="13" t="str">
        <f aca="false">IF($K101="","",IF(INDEX(Checklists!$B:$B,$K101)="","",INDEX(Checklists!$B:$B,$K101)))</f>
        <v/>
      </c>
      <c r="D101" s="11" t="str">
        <f aca="false">IF($K101="","",IF(INDEX(Checklists!$E:$E,$K101)="","",INDEX(Checklists!$E:$E,$K101)))</f>
        <v/>
      </c>
      <c r="E101" s="11" t="str">
        <f aca="false">IF($K101="","",IF(INDEX(Checklists!$H:$H,$K101)="","",INDEX(Checklists!$H:$H,$K101)))</f>
        <v/>
      </c>
      <c r="F101" s="11" t="str">
        <f aca="false">IF($K101="","",IF(INDEX(Checklists!$I:$I,$K101)="","",INDEX(Checklists!$I:$I,$K101)))</f>
        <v/>
      </c>
      <c r="G101" s="13" t="str">
        <f aca="false">IF($K101="","",IF(INDEX(Checklists!$J:$J,$K101)="","",INDEX(Checklists!$J:$J,$K101)))</f>
        <v/>
      </c>
      <c r="H101" s="26" t="str">
        <f aca="false">IF($K101="","",IF(INDEX(Checklists!$K:$K,$K101)="","",INDEX(Checklists!$K:$K,$K101)))</f>
        <v/>
      </c>
      <c r="I101" s="13" t="str">
        <f aca="false">IF($K101="","",IF(INDEX(Checklists!$L:$L,$K101)="","",INDEX(Checklists!$L:$L,$K101)))</f>
        <v/>
      </c>
      <c r="K101" s="1" t="str">
        <f aca="false">IFERROR(MATCH(ROWS($K$4:$K101),Checklists!$N$2:$N$291,0)+1,"")</f>
        <v/>
      </c>
    </row>
    <row r="102" customFormat="false" ht="15" hidden="false" customHeight="true" outlineLevel="0" collapsed="false">
      <c r="A102" s="13" t="str">
        <f aca="false">IF($K102="","",ROWS($K$4:$K102))</f>
        <v/>
      </c>
      <c r="B102" s="13" t="str">
        <f aca="false">IF($K102="","",IF(INDEX(Checklists!$A:$A,$K102)="","",INDEX(Checklists!$A:$A,$K102)))</f>
        <v/>
      </c>
      <c r="C102" s="13" t="str">
        <f aca="false">IF($K102="","",IF(INDEX(Checklists!$B:$B,$K102)="","",INDEX(Checklists!$B:$B,$K102)))</f>
        <v/>
      </c>
      <c r="D102" s="11" t="str">
        <f aca="false">IF($K102="","",IF(INDEX(Checklists!$E:$E,$K102)="","",INDEX(Checklists!$E:$E,$K102)))</f>
        <v/>
      </c>
      <c r="E102" s="11" t="str">
        <f aca="false">IF($K102="","",IF(INDEX(Checklists!$H:$H,$K102)="","",INDEX(Checklists!$H:$H,$K102)))</f>
        <v/>
      </c>
      <c r="F102" s="11" t="str">
        <f aca="false">IF($K102="","",IF(INDEX(Checklists!$I:$I,$K102)="","",INDEX(Checklists!$I:$I,$K102)))</f>
        <v/>
      </c>
      <c r="G102" s="13" t="str">
        <f aca="false">IF($K102="","",IF(INDEX(Checklists!$J:$J,$K102)="","",INDEX(Checklists!$J:$J,$K102)))</f>
        <v/>
      </c>
      <c r="H102" s="26" t="str">
        <f aca="false">IF($K102="","",IF(INDEX(Checklists!$K:$K,$K102)="","",INDEX(Checklists!$K:$K,$K102)))</f>
        <v/>
      </c>
      <c r="I102" s="13" t="str">
        <f aca="false">IF($K102="","",IF(INDEX(Checklists!$L:$L,$K102)="","",INDEX(Checklists!$L:$L,$K102)))</f>
        <v/>
      </c>
      <c r="K102" s="1" t="str">
        <f aca="false">IFERROR(MATCH(ROWS($K$4:$K102),Checklists!$N$2:$N$291,0)+1,"")</f>
        <v/>
      </c>
    </row>
    <row r="103" customFormat="false" ht="15" hidden="false" customHeight="true" outlineLevel="0" collapsed="false">
      <c r="A103" s="13" t="str">
        <f aca="false">IF($K103="","",ROWS($K$4:$K103))</f>
        <v/>
      </c>
      <c r="B103" s="13" t="str">
        <f aca="false">IF($K103="","",IF(INDEX(Checklists!$A:$A,$K103)="","",INDEX(Checklists!$A:$A,$K103)))</f>
        <v/>
      </c>
      <c r="C103" s="13" t="str">
        <f aca="false">IF($K103="","",IF(INDEX(Checklists!$B:$B,$K103)="","",INDEX(Checklists!$B:$B,$K103)))</f>
        <v/>
      </c>
      <c r="D103" s="11" t="str">
        <f aca="false">IF($K103="","",IF(INDEX(Checklists!$E:$E,$K103)="","",INDEX(Checklists!$E:$E,$K103)))</f>
        <v/>
      </c>
      <c r="E103" s="11" t="str">
        <f aca="false">IF($K103="","",IF(INDEX(Checklists!$H:$H,$K103)="","",INDEX(Checklists!$H:$H,$K103)))</f>
        <v/>
      </c>
      <c r="F103" s="11" t="str">
        <f aca="false">IF($K103="","",IF(INDEX(Checklists!$I:$I,$K103)="","",INDEX(Checklists!$I:$I,$K103)))</f>
        <v/>
      </c>
      <c r="G103" s="13" t="str">
        <f aca="false">IF($K103="","",IF(INDEX(Checklists!$J:$J,$K103)="","",INDEX(Checklists!$J:$J,$K103)))</f>
        <v/>
      </c>
      <c r="H103" s="26" t="str">
        <f aca="false">IF($K103="","",IF(INDEX(Checklists!$K:$K,$K103)="","",INDEX(Checklists!$K:$K,$K103)))</f>
        <v/>
      </c>
      <c r="I103" s="13" t="str">
        <f aca="false">IF($K103="","",IF(INDEX(Checklists!$L:$L,$K103)="","",INDEX(Checklists!$L:$L,$K103)))</f>
        <v/>
      </c>
      <c r="K103" s="1" t="str">
        <f aca="false">IFERROR(MATCH(ROWS($K$4:$K103),Checklists!$N$2:$N$291,0)+1,"")</f>
        <v/>
      </c>
    </row>
    <row r="104" customFormat="false" ht="15" hidden="false" customHeight="true" outlineLevel="0" collapsed="false">
      <c r="A104" s="13" t="str">
        <f aca="false">IF($K104="","",ROWS($K$4:$K104))</f>
        <v/>
      </c>
      <c r="B104" s="13" t="str">
        <f aca="false">IF($K104="","",IF(INDEX(Checklists!$A:$A,$K104)="","",INDEX(Checklists!$A:$A,$K104)))</f>
        <v/>
      </c>
      <c r="C104" s="13" t="str">
        <f aca="false">IF($K104="","",IF(INDEX(Checklists!$B:$B,$K104)="","",INDEX(Checklists!$B:$B,$K104)))</f>
        <v/>
      </c>
      <c r="D104" s="11" t="str">
        <f aca="false">IF($K104="","",IF(INDEX(Checklists!$E:$E,$K104)="","",INDEX(Checklists!$E:$E,$K104)))</f>
        <v/>
      </c>
      <c r="E104" s="11" t="str">
        <f aca="false">IF($K104="","",IF(INDEX(Checklists!$H:$H,$K104)="","",INDEX(Checklists!$H:$H,$K104)))</f>
        <v/>
      </c>
      <c r="F104" s="11" t="str">
        <f aca="false">IF($K104="","",IF(INDEX(Checklists!$I:$I,$K104)="","",INDEX(Checklists!$I:$I,$K104)))</f>
        <v/>
      </c>
      <c r="G104" s="13" t="str">
        <f aca="false">IF($K104="","",IF(INDEX(Checklists!$J:$J,$K104)="","",INDEX(Checklists!$J:$J,$K104)))</f>
        <v/>
      </c>
      <c r="H104" s="26" t="str">
        <f aca="false">IF($K104="","",IF(INDEX(Checklists!$K:$K,$K104)="","",INDEX(Checklists!$K:$K,$K104)))</f>
        <v/>
      </c>
      <c r="I104" s="13" t="str">
        <f aca="false">IF($K104="","",IF(INDEX(Checklists!$L:$L,$K104)="","",INDEX(Checklists!$L:$L,$K104)))</f>
        <v/>
      </c>
      <c r="K104" s="1" t="str">
        <f aca="false">IFERROR(MATCH(ROWS($K$4:$K104),Checklists!$N$2:$N$291,0)+1,"")</f>
        <v/>
      </c>
    </row>
    <row r="105" customFormat="false" ht="15" hidden="false" customHeight="true" outlineLevel="0" collapsed="false">
      <c r="A105" s="13" t="str">
        <f aca="false">IF($K105="","",ROWS($K$4:$K105))</f>
        <v/>
      </c>
      <c r="B105" s="13" t="str">
        <f aca="false">IF($K105="","",IF(INDEX(Checklists!$A:$A,$K105)="","",INDEX(Checklists!$A:$A,$K105)))</f>
        <v/>
      </c>
      <c r="C105" s="13" t="str">
        <f aca="false">IF($K105="","",IF(INDEX(Checklists!$B:$B,$K105)="","",INDEX(Checklists!$B:$B,$K105)))</f>
        <v/>
      </c>
      <c r="D105" s="11" t="str">
        <f aca="false">IF($K105="","",IF(INDEX(Checklists!$E:$E,$K105)="","",INDEX(Checklists!$E:$E,$K105)))</f>
        <v/>
      </c>
      <c r="E105" s="11" t="str">
        <f aca="false">IF($K105="","",IF(INDEX(Checklists!$H:$H,$K105)="","",INDEX(Checklists!$H:$H,$K105)))</f>
        <v/>
      </c>
      <c r="F105" s="11" t="str">
        <f aca="false">IF($K105="","",IF(INDEX(Checklists!$I:$I,$K105)="","",INDEX(Checklists!$I:$I,$K105)))</f>
        <v/>
      </c>
      <c r="G105" s="13" t="str">
        <f aca="false">IF($K105="","",IF(INDEX(Checklists!$J:$J,$K105)="","",INDEX(Checklists!$J:$J,$K105)))</f>
        <v/>
      </c>
      <c r="H105" s="26" t="str">
        <f aca="false">IF($K105="","",IF(INDEX(Checklists!$K:$K,$K105)="","",INDEX(Checklists!$K:$K,$K105)))</f>
        <v/>
      </c>
      <c r="I105" s="13" t="str">
        <f aca="false">IF($K105="","",IF(INDEX(Checklists!$L:$L,$K105)="","",INDEX(Checklists!$L:$L,$K105)))</f>
        <v/>
      </c>
      <c r="K105" s="1" t="str">
        <f aca="false">IFERROR(MATCH(ROWS($K$4:$K105),Checklists!$N$2:$N$291,0)+1,"")</f>
        <v/>
      </c>
    </row>
    <row r="106" customFormat="false" ht="15" hidden="false" customHeight="true" outlineLevel="0" collapsed="false">
      <c r="A106" s="13" t="str">
        <f aca="false">IF($K106="","",ROWS($K$4:$K106))</f>
        <v/>
      </c>
      <c r="B106" s="13" t="str">
        <f aca="false">IF($K106="","",IF(INDEX(Checklists!$A:$A,$K106)="","",INDEX(Checklists!$A:$A,$K106)))</f>
        <v/>
      </c>
      <c r="C106" s="13" t="str">
        <f aca="false">IF($K106="","",IF(INDEX(Checklists!$B:$B,$K106)="","",INDEX(Checklists!$B:$B,$K106)))</f>
        <v/>
      </c>
      <c r="D106" s="11" t="str">
        <f aca="false">IF($K106="","",IF(INDEX(Checklists!$E:$E,$K106)="","",INDEX(Checklists!$E:$E,$K106)))</f>
        <v/>
      </c>
      <c r="E106" s="11" t="str">
        <f aca="false">IF($K106="","",IF(INDEX(Checklists!$H:$H,$K106)="","",INDEX(Checklists!$H:$H,$K106)))</f>
        <v/>
      </c>
      <c r="F106" s="11" t="str">
        <f aca="false">IF($K106="","",IF(INDEX(Checklists!$I:$I,$K106)="","",INDEX(Checklists!$I:$I,$K106)))</f>
        <v/>
      </c>
      <c r="G106" s="13" t="str">
        <f aca="false">IF($K106="","",IF(INDEX(Checklists!$J:$J,$K106)="","",INDEX(Checklists!$J:$J,$K106)))</f>
        <v/>
      </c>
      <c r="H106" s="26" t="str">
        <f aca="false">IF($K106="","",IF(INDEX(Checklists!$K:$K,$K106)="","",INDEX(Checklists!$K:$K,$K106)))</f>
        <v/>
      </c>
      <c r="I106" s="13" t="str">
        <f aca="false">IF($K106="","",IF(INDEX(Checklists!$L:$L,$K106)="","",INDEX(Checklists!$L:$L,$K106)))</f>
        <v/>
      </c>
      <c r="K106" s="1" t="str">
        <f aca="false">IFERROR(MATCH(ROWS($K$4:$K106),Checklists!$N$2:$N$291,0)+1,"")</f>
        <v/>
      </c>
    </row>
    <row r="107" customFormat="false" ht="15" hidden="false" customHeight="true" outlineLevel="0" collapsed="false">
      <c r="A107" s="13" t="str">
        <f aca="false">IF($K107="","",ROWS($K$4:$K107))</f>
        <v/>
      </c>
      <c r="B107" s="13" t="str">
        <f aca="false">IF($K107="","",IF(INDEX(Checklists!$A:$A,$K107)="","",INDEX(Checklists!$A:$A,$K107)))</f>
        <v/>
      </c>
      <c r="C107" s="13" t="str">
        <f aca="false">IF($K107="","",IF(INDEX(Checklists!$B:$B,$K107)="","",INDEX(Checklists!$B:$B,$K107)))</f>
        <v/>
      </c>
      <c r="D107" s="11" t="str">
        <f aca="false">IF($K107="","",IF(INDEX(Checklists!$E:$E,$K107)="","",INDEX(Checklists!$E:$E,$K107)))</f>
        <v/>
      </c>
      <c r="E107" s="11" t="str">
        <f aca="false">IF($K107="","",IF(INDEX(Checklists!$H:$H,$K107)="","",INDEX(Checklists!$H:$H,$K107)))</f>
        <v/>
      </c>
      <c r="F107" s="11" t="str">
        <f aca="false">IF($K107="","",IF(INDEX(Checklists!$I:$I,$K107)="","",INDEX(Checklists!$I:$I,$K107)))</f>
        <v/>
      </c>
      <c r="G107" s="13" t="str">
        <f aca="false">IF($K107="","",IF(INDEX(Checklists!$J:$J,$K107)="","",INDEX(Checklists!$J:$J,$K107)))</f>
        <v/>
      </c>
      <c r="H107" s="26" t="str">
        <f aca="false">IF($K107="","",IF(INDEX(Checklists!$K:$K,$K107)="","",INDEX(Checklists!$K:$K,$K107)))</f>
        <v/>
      </c>
      <c r="I107" s="13" t="str">
        <f aca="false">IF($K107="","",IF(INDEX(Checklists!$L:$L,$K107)="","",INDEX(Checklists!$L:$L,$K107)))</f>
        <v/>
      </c>
      <c r="K107" s="1" t="str">
        <f aca="false">IFERROR(MATCH(ROWS($K$4:$K107),Checklists!$N$2:$N$291,0)+1,"")</f>
        <v/>
      </c>
    </row>
    <row r="108" customFormat="false" ht="15" hidden="false" customHeight="true" outlineLevel="0" collapsed="false">
      <c r="A108" s="13" t="str">
        <f aca="false">IF($K108="","",ROWS($K$4:$K108))</f>
        <v/>
      </c>
      <c r="B108" s="13" t="str">
        <f aca="false">IF($K108="","",IF(INDEX(Checklists!$A:$A,$K108)="","",INDEX(Checklists!$A:$A,$K108)))</f>
        <v/>
      </c>
      <c r="C108" s="13" t="str">
        <f aca="false">IF($K108="","",IF(INDEX(Checklists!$B:$B,$K108)="","",INDEX(Checklists!$B:$B,$K108)))</f>
        <v/>
      </c>
      <c r="D108" s="11" t="str">
        <f aca="false">IF($K108="","",IF(INDEX(Checklists!$E:$E,$K108)="","",INDEX(Checklists!$E:$E,$K108)))</f>
        <v/>
      </c>
      <c r="E108" s="11" t="str">
        <f aca="false">IF($K108="","",IF(INDEX(Checklists!$H:$H,$K108)="","",INDEX(Checklists!$H:$H,$K108)))</f>
        <v/>
      </c>
      <c r="F108" s="11" t="str">
        <f aca="false">IF($K108="","",IF(INDEX(Checklists!$I:$I,$K108)="","",INDEX(Checklists!$I:$I,$K108)))</f>
        <v/>
      </c>
      <c r="G108" s="13" t="str">
        <f aca="false">IF($K108="","",IF(INDEX(Checklists!$J:$J,$K108)="","",INDEX(Checklists!$J:$J,$K108)))</f>
        <v/>
      </c>
      <c r="H108" s="26" t="str">
        <f aca="false">IF($K108="","",IF(INDEX(Checklists!$K:$K,$K108)="","",INDEX(Checklists!$K:$K,$K108)))</f>
        <v/>
      </c>
      <c r="I108" s="13" t="str">
        <f aca="false">IF($K108="","",IF(INDEX(Checklists!$L:$L,$K108)="","",INDEX(Checklists!$L:$L,$K108)))</f>
        <v/>
      </c>
      <c r="K108" s="1" t="str">
        <f aca="false">IFERROR(MATCH(ROWS($K$4:$K108),Checklists!$N$2:$N$291,0)+1,"")</f>
        <v/>
      </c>
    </row>
    <row r="109" customFormat="false" ht="15" hidden="false" customHeight="true" outlineLevel="0" collapsed="false">
      <c r="A109" s="13" t="str">
        <f aca="false">IF($K109="","",ROWS($K$4:$K109))</f>
        <v/>
      </c>
      <c r="B109" s="13" t="str">
        <f aca="false">IF($K109="","",IF(INDEX(Checklists!$A:$A,$K109)="","",INDEX(Checklists!$A:$A,$K109)))</f>
        <v/>
      </c>
      <c r="C109" s="13" t="str">
        <f aca="false">IF($K109="","",IF(INDEX(Checklists!$B:$B,$K109)="","",INDEX(Checklists!$B:$B,$K109)))</f>
        <v/>
      </c>
      <c r="D109" s="11" t="str">
        <f aca="false">IF($K109="","",IF(INDEX(Checklists!$E:$E,$K109)="","",INDEX(Checklists!$E:$E,$K109)))</f>
        <v/>
      </c>
      <c r="E109" s="11" t="str">
        <f aca="false">IF($K109="","",IF(INDEX(Checklists!$H:$H,$K109)="","",INDEX(Checklists!$H:$H,$K109)))</f>
        <v/>
      </c>
      <c r="F109" s="11" t="str">
        <f aca="false">IF($K109="","",IF(INDEX(Checklists!$I:$I,$K109)="","",INDEX(Checklists!$I:$I,$K109)))</f>
        <v/>
      </c>
      <c r="G109" s="13" t="str">
        <f aca="false">IF($K109="","",IF(INDEX(Checklists!$J:$J,$K109)="","",INDEX(Checklists!$J:$J,$K109)))</f>
        <v/>
      </c>
      <c r="H109" s="26" t="str">
        <f aca="false">IF($K109="","",IF(INDEX(Checklists!$K:$K,$K109)="","",INDEX(Checklists!$K:$K,$K109)))</f>
        <v/>
      </c>
      <c r="I109" s="13" t="str">
        <f aca="false">IF($K109="","",IF(INDEX(Checklists!$L:$L,$K109)="","",INDEX(Checklists!$L:$L,$K109)))</f>
        <v/>
      </c>
      <c r="K109" s="1" t="str">
        <f aca="false">IFERROR(MATCH(ROWS($K$4:$K109),Checklists!$N$2:$N$291,0)+1,"")</f>
        <v/>
      </c>
    </row>
    <row r="110" customFormat="false" ht="15" hidden="false" customHeight="true" outlineLevel="0" collapsed="false">
      <c r="A110" s="13" t="str">
        <f aca="false">IF($K110="","",ROWS($K$4:$K110))</f>
        <v/>
      </c>
      <c r="B110" s="13" t="str">
        <f aca="false">IF($K110="","",IF(INDEX(Checklists!$A:$A,$K110)="","",INDEX(Checklists!$A:$A,$K110)))</f>
        <v/>
      </c>
      <c r="C110" s="13" t="str">
        <f aca="false">IF($K110="","",IF(INDEX(Checklists!$B:$B,$K110)="","",INDEX(Checklists!$B:$B,$K110)))</f>
        <v/>
      </c>
      <c r="D110" s="11" t="str">
        <f aca="false">IF($K110="","",IF(INDEX(Checklists!$E:$E,$K110)="","",INDEX(Checklists!$E:$E,$K110)))</f>
        <v/>
      </c>
      <c r="E110" s="11" t="str">
        <f aca="false">IF($K110="","",IF(INDEX(Checklists!$H:$H,$K110)="","",INDEX(Checklists!$H:$H,$K110)))</f>
        <v/>
      </c>
      <c r="F110" s="11" t="str">
        <f aca="false">IF($K110="","",IF(INDEX(Checklists!$I:$I,$K110)="","",INDEX(Checklists!$I:$I,$K110)))</f>
        <v/>
      </c>
      <c r="G110" s="13" t="str">
        <f aca="false">IF($K110="","",IF(INDEX(Checklists!$J:$J,$K110)="","",INDEX(Checklists!$J:$J,$K110)))</f>
        <v/>
      </c>
      <c r="H110" s="26" t="str">
        <f aca="false">IF($K110="","",IF(INDEX(Checklists!$K:$K,$K110)="","",INDEX(Checklists!$K:$K,$K110)))</f>
        <v/>
      </c>
      <c r="I110" s="13" t="str">
        <f aca="false">IF($K110="","",IF(INDEX(Checklists!$L:$L,$K110)="","",INDEX(Checklists!$L:$L,$K110)))</f>
        <v/>
      </c>
      <c r="K110" s="1" t="str">
        <f aca="false">IFERROR(MATCH(ROWS($K$4:$K110),Checklists!$N$2:$N$291,0)+1,"")</f>
        <v/>
      </c>
    </row>
    <row r="111" customFormat="false" ht="15" hidden="false" customHeight="true" outlineLevel="0" collapsed="false">
      <c r="A111" s="13" t="str">
        <f aca="false">IF($K111="","",ROWS($K$4:$K111))</f>
        <v/>
      </c>
      <c r="B111" s="13" t="str">
        <f aca="false">IF($K111="","",IF(INDEX(Checklists!$A:$A,$K111)="","",INDEX(Checklists!$A:$A,$K111)))</f>
        <v/>
      </c>
      <c r="C111" s="13" t="str">
        <f aca="false">IF($K111="","",IF(INDEX(Checklists!$B:$B,$K111)="","",INDEX(Checklists!$B:$B,$K111)))</f>
        <v/>
      </c>
      <c r="D111" s="11" t="str">
        <f aca="false">IF($K111="","",IF(INDEX(Checklists!$E:$E,$K111)="","",INDEX(Checklists!$E:$E,$K111)))</f>
        <v/>
      </c>
      <c r="E111" s="11" t="str">
        <f aca="false">IF($K111="","",IF(INDEX(Checklists!$H:$H,$K111)="","",INDEX(Checklists!$H:$H,$K111)))</f>
        <v/>
      </c>
      <c r="F111" s="11" t="str">
        <f aca="false">IF($K111="","",IF(INDEX(Checklists!$I:$I,$K111)="","",INDEX(Checklists!$I:$I,$K111)))</f>
        <v/>
      </c>
      <c r="G111" s="13" t="str">
        <f aca="false">IF($K111="","",IF(INDEX(Checklists!$J:$J,$K111)="","",INDEX(Checklists!$J:$J,$K111)))</f>
        <v/>
      </c>
      <c r="H111" s="26" t="str">
        <f aca="false">IF($K111="","",IF(INDEX(Checklists!$K:$K,$K111)="","",INDEX(Checklists!$K:$K,$K111)))</f>
        <v/>
      </c>
      <c r="I111" s="13" t="str">
        <f aca="false">IF($K111="","",IF(INDEX(Checklists!$L:$L,$K111)="","",INDEX(Checklists!$L:$L,$K111)))</f>
        <v/>
      </c>
      <c r="K111" s="1" t="str">
        <f aca="false">IFERROR(MATCH(ROWS($K$4:$K111),Checklists!$N$2:$N$291,0)+1,"")</f>
        <v/>
      </c>
    </row>
    <row r="112" customFormat="false" ht="15" hidden="false" customHeight="true" outlineLevel="0" collapsed="false">
      <c r="A112" s="13" t="str">
        <f aca="false">IF($K112="","",ROWS($K$4:$K112))</f>
        <v/>
      </c>
      <c r="B112" s="13" t="str">
        <f aca="false">IF($K112="","",IF(INDEX(Checklists!$A:$A,$K112)="","",INDEX(Checklists!$A:$A,$K112)))</f>
        <v/>
      </c>
      <c r="C112" s="13" t="str">
        <f aca="false">IF($K112="","",IF(INDEX(Checklists!$B:$B,$K112)="","",INDEX(Checklists!$B:$B,$K112)))</f>
        <v/>
      </c>
      <c r="D112" s="11" t="str">
        <f aca="false">IF($K112="","",IF(INDEX(Checklists!$E:$E,$K112)="","",INDEX(Checklists!$E:$E,$K112)))</f>
        <v/>
      </c>
      <c r="E112" s="11" t="str">
        <f aca="false">IF($K112="","",IF(INDEX(Checklists!$H:$H,$K112)="","",INDEX(Checklists!$H:$H,$K112)))</f>
        <v/>
      </c>
      <c r="F112" s="11" t="str">
        <f aca="false">IF($K112="","",IF(INDEX(Checklists!$I:$I,$K112)="","",INDEX(Checklists!$I:$I,$K112)))</f>
        <v/>
      </c>
      <c r="G112" s="13" t="str">
        <f aca="false">IF($K112="","",IF(INDEX(Checklists!$J:$J,$K112)="","",INDEX(Checklists!$J:$J,$K112)))</f>
        <v/>
      </c>
      <c r="H112" s="26" t="str">
        <f aca="false">IF($K112="","",IF(INDEX(Checklists!$K:$K,$K112)="","",INDEX(Checklists!$K:$K,$K112)))</f>
        <v/>
      </c>
      <c r="I112" s="13" t="str">
        <f aca="false">IF($K112="","",IF(INDEX(Checklists!$L:$L,$K112)="","",INDEX(Checklists!$L:$L,$K112)))</f>
        <v/>
      </c>
      <c r="K112" s="1" t="str">
        <f aca="false">IFERROR(MATCH(ROWS($K$4:$K112),Checklists!$N$2:$N$291,0)+1,"")</f>
        <v/>
      </c>
    </row>
    <row r="113" customFormat="false" ht="15" hidden="false" customHeight="true" outlineLevel="0" collapsed="false">
      <c r="A113" s="13" t="str">
        <f aca="false">IF($K113="","",ROWS($K$4:$K113))</f>
        <v/>
      </c>
      <c r="B113" s="13" t="str">
        <f aca="false">IF($K113="","",IF(INDEX(Checklists!$A:$A,$K113)="","",INDEX(Checklists!$A:$A,$K113)))</f>
        <v/>
      </c>
      <c r="C113" s="13" t="str">
        <f aca="false">IF($K113="","",IF(INDEX(Checklists!$B:$B,$K113)="","",INDEX(Checklists!$B:$B,$K113)))</f>
        <v/>
      </c>
      <c r="D113" s="11" t="str">
        <f aca="false">IF($K113="","",IF(INDEX(Checklists!$E:$E,$K113)="","",INDEX(Checklists!$E:$E,$K113)))</f>
        <v/>
      </c>
      <c r="E113" s="11" t="str">
        <f aca="false">IF($K113="","",IF(INDEX(Checklists!$H:$H,$K113)="","",INDEX(Checklists!$H:$H,$K113)))</f>
        <v/>
      </c>
      <c r="F113" s="11" t="str">
        <f aca="false">IF($K113="","",IF(INDEX(Checklists!$I:$I,$K113)="","",INDEX(Checklists!$I:$I,$K113)))</f>
        <v/>
      </c>
      <c r="G113" s="13" t="str">
        <f aca="false">IF($K113="","",IF(INDEX(Checklists!$J:$J,$K113)="","",INDEX(Checklists!$J:$J,$K113)))</f>
        <v/>
      </c>
      <c r="H113" s="26" t="str">
        <f aca="false">IF($K113="","",IF(INDEX(Checklists!$K:$K,$K113)="","",INDEX(Checklists!$K:$K,$K113)))</f>
        <v/>
      </c>
      <c r="I113" s="13" t="str">
        <f aca="false">IF($K113="","",IF(INDEX(Checklists!$L:$L,$K113)="","",INDEX(Checklists!$L:$L,$K113)))</f>
        <v/>
      </c>
      <c r="K113" s="1" t="str">
        <f aca="false">IFERROR(MATCH(ROWS($K$4:$K113),Checklists!$N$2:$N$291,0)+1,"")</f>
        <v/>
      </c>
    </row>
    <row r="114" customFormat="false" ht="15" hidden="false" customHeight="true" outlineLevel="0" collapsed="false">
      <c r="A114" s="13" t="str">
        <f aca="false">IF($K114="","",ROWS($K$4:$K114))</f>
        <v/>
      </c>
      <c r="B114" s="13" t="str">
        <f aca="false">IF($K114="","",IF(INDEX(Checklists!$A:$A,$K114)="","",INDEX(Checklists!$A:$A,$K114)))</f>
        <v/>
      </c>
      <c r="C114" s="13" t="str">
        <f aca="false">IF($K114="","",IF(INDEX(Checklists!$B:$B,$K114)="","",INDEX(Checklists!$B:$B,$K114)))</f>
        <v/>
      </c>
      <c r="D114" s="11" t="str">
        <f aca="false">IF($K114="","",IF(INDEX(Checklists!$E:$E,$K114)="","",INDEX(Checklists!$E:$E,$K114)))</f>
        <v/>
      </c>
      <c r="E114" s="11" t="str">
        <f aca="false">IF($K114="","",IF(INDEX(Checklists!$H:$H,$K114)="","",INDEX(Checklists!$H:$H,$K114)))</f>
        <v/>
      </c>
      <c r="F114" s="11" t="str">
        <f aca="false">IF($K114="","",IF(INDEX(Checklists!$I:$I,$K114)="","",INDEX(Checklists!$I:$I,$K114)))</f>
        <v/>
      </c>
      <c r="G114" s="13" t="str">
        <f aca="false">IF($K114="","",IF(INDEX(Checklists!$J:$J,$K114)="","",INDEX(Checklists!$J:$J,$K114)))</f>
        <v/>
      </c>
      <c r="H114" s="26" t="str">
        <f aca="false">IF($K114="","",IF(INDEX(Checklists!$K:$K,$K114)="","",INDEX(Checklists!$K:$K,$K114)))</f>
        <v/>
      </c>
      <c r="I114" s="13" t="str">
        <f aca="false">IF($K114="","",IF(INDEX(Checklists!$L:$L,$K114)="","",INDEX(Checklists!$L:$L,$K114)))</f>
        <v/>
      </c>
      <c r="K114" s="1" t="str">
        <f aca="false">IFERROR(MATCH(ROWS($K$4:$K114),Checklists!$N$2:$N$291,0)+1,"")</f>
        <v/>
      </c>
    </row>
    <row r="115" customFormat="false" ht="15" hidden="false" customHeight="true" outlineLevel="0" collapsed="false">
      <c r="A115" s="13" t="str">
        <f aca="false">IF($K115="","",ROWS($K$4:$K115))</f>
        <v/>
      </c>
      <c r="B115" s="13" t="str">
        <f aca="false">IF($K115="","",IF(INDEX(Checklists!$A:$A,$K115)="","",INDEX(Checklists!$A:$A,$K115)))</f>
        <v/>
      </c>
      <c r="C115" s="13" t="str">
        <f aca="false">IF($K115="","",IF(INDEX(Checklists!$B:$B,$K115)="","",INDEX(Checklists!$B:$B,$K115)))</f>
        <v/>
      </c>
      <c r="D115" s="11" t="str">
        <f aca="false">IF($K115="","",IF(INDEX(Checklists!$E:$E,$K115)="","",INDEX(Checklists!$E:$E,$K115)))</f>
        <v/>
      </c>
      <c r="E115" s="11" t="str">
        <f aca="false">IF($K115="","",IF(INDEX(Checklists!$H:$H,$K115)="","",INDEX(Checklists!$H:$H,$K115)))</f>
        <v/>
      </c>
      <c r="F115" s="11" t="str">
        <f aca="false">IF($K115="","",IF(INDEX(Checklists!$I:$I,$K115)="","",INDEX(Checklists!$I:$I,$K115)))</f>
        <v/>
      </c>
      <c r="G115" s="13" t="str">
        <f aca="false">IF($K115="","",IF(INDEX(Checklists!$J:$J,$K115)="","",INDEX(Checklists!$J:$J,$K115)))</f>
        <v/>
      </c>
      <c r="H115" s="26" t="str">
        <f aca="false">IF($K115="","",IF(INDEX(Checklists!$K:$K,$K115)="","",INDEX(Checklists!$K:$K,$K115)))</f>
        <v/>
      </c>
      <c r="I115" s="13" t="str">
        <f aca="false">IF($K115="","",IF(INDEX(Checklists!$L:$L,$K115)="","",INDEX(Checklists!$L:$L,$K115)))</f>
        <v/>
      </c>
      <c r="K115" s="1" t="str">
        <f aca="false">IFERROR(MATCH(ROWS($K$4:$K115),Checklists!$N$2:$N$291,0)+1,"")</f>
        <v/>
      </c>
    </row>
    <row r="116" customFormat="false" ht="15" hidden="false" customHeight="true" outlineLevel="0" collapsed="false">
      <c r="A116" s="13" t="str">
        <f aca="false">IF($K116="","",ROWS($K$4:$K116))</f>
        <v/>
      </c>
      <c r="B116" s="13" t="str">
        <f aca="false">IF($K116="","",IF(INDEX(Checklists!$A:$A,$K116)="","",INDEX(Checklists!$A:$A,$K116)))</f>
        <v/>
      </c>
      <c r="C116" s="13" t="str">
        <f aca="false">IF($K116="","",IF(INDEX(Checklists!$B:$B,$K116)="","",INDEX(Checklists!$B:$B,$K116)))</f>
        <v/>
      </c>
      <c r="D116" s="11" t="str">
        <f aca="false">IF($K116="","",IF(INDEX(Checklists!$E:$E,$K116)="","",INDEX(Checklists!$E:$E,$K116)))</f>
        <v/>
      </c>
      <c r="E116" s="11" t="str">
        <f aca="false">IF($K116="","",IF(INDEX(Checklists!$H:$H,$K116)="","",INDEX(Checklists!$H:$H,$K116)))</f>
        <v/>
      </c>
      <c r="F116" s="11" t="str">
        <f aca="false">IF($K116="","",IF(INDEX(Checklists!$I:$I,$K116)="","",INDEX(Checklists!$I:$I,$K116)))</f>
        <v/>
      </c>
      <c r="G116" s="13" t="str">
        <f aca="false">IF($K116="","",IF(INDEX(Checklists!$J:$J,$K116)="","",INDEX(Checklists!$J:$J,$K116)))</f>
        <v/>
      </c>
      <c r="H116" s="26" t="str">
        <f aca="false">IF($K116="","",IF(INDEX(Checklists!$K:$K,$K116)="","",INDEX(Checklists!$K:$K,$K116)))</f>
        <v/>
      </c>
      <c r="I116" s="13" t="str">
        <f aca="false">IF($K116="","",IF(INDEX(Checklists!$L:$L,$K116)="","",INDEX(Checklists!$L:$L,$K116)))</f>
        <v/>
      </c>
      <c r="K116" s="1" t="str">
        <f aca="false">IFERROR(MATCH(ROWS($K$4:$K116),Checklists!$N$2:$N$291,0)+1,"")</f>
        <v/>
      </c>
    </row>
    <row r="117" customFormat="false" ht="15" hidden="false" customHeight="true" outlineLevel="0" collapsed="false">
      <c r="A117" s="13" t="str">
        <f aca="false">IF($K117="","",ROWS($K$4:$K117))</f>
        <v/>
      </c>
      <c r="B117" s="13" t="str">
        <f aca="false">IF($K117="","",IF(INDEX(Checklists!$A:$A,$K117)="","",INDEX(Checklists!$A:$A,$K117)))</f>
        <v/>
      </c>
      <c r="C117" s="13" t="str">
        <f aca="false">IF($K117="","",IF(INDEX(Checklists!$B:$B,$K117)="","",INDEX(Checklists!$B:$B,$K117)))</f>
        <v/>
      </c>
      <c r="D117" s="11" t="str">
        <f aca="false">IF($K117="","",IF(INDEX(Checklists!$E:$E,$K117)="","",INDEX(Checklists!$E:$E,$K117)))</f>
        <v/>
      </c>
      <c r="E117" s="11" t="str">
        <f aca="false">IF($K117="","",IF(INDEX(Checklists!$H:$H,$K117)="","",INDEX(Checklists!$H:$H,$K117)))</f>
        <v/>
      </c>
      <c r="F117" s="11" t="str">
        <f aca="false">IF($K117="","",IF(INDEX(Checklists!$I:$I,$K117)="","",INDEX(Checklists!$I:$I,$K117)))</f>
        <v/>
      </c>
      <c r="G117" s="13" t="str">
        <f aca="false">IF($K117="","",IF(INDEX(Checklists!$J:$J,$K117)="","",INDEX(Checklists!$J:$J,$K117)))</f>
        <v/>
      </c>
      <c r="H117" s="26" t="str">
        <f aca="false">IF($K117="","",IF(INDEX(Checklists!$K:$K,$K117)="","",INDEX(Checklists!$K:$K,$K117)))</f>
        <v/>
      </c>
      <c r="I117" s="13" t="str">
        <f aca="false">IF($K117="","",IF(INDEX(Checklists!$L:$L,$K117)="","",INDEX(Checklists!$L:$L,$K117)))</f>
        <v/>
      </c>
      <c r="K117" s="1" t="str">
        <f aca="false">IFERROR(MATCH(ROWS($K$4:$K117),Checklists!$N$2:$N$291,0)+1,"")</f>
        <v/>
      </c>
    </row>
    <row r="118" customFormat="false" ht="15" hidden="false" customHeight="true" outlineLevel="0" collapsed="false">
      <c r="A118" s="13" t="str">
        <f aca="false">IF($K118="","",ROWS($K$4:$K118))</f>
        <v/>
      </c>
      <c r="B118" s="13" t="str">
        <f aca="false">IF($K118="","",IF(INDEX(Checklists!$A:$A,$K118)="","",INDEX(Checklists!$A:$A,$K118)))</f>
        <v/>
      </c>
      <c r="C118" s="13" t="str">
        <f aca="false">IF($K118="","",IF(INDEX(Checklists!$B:$B,$K118)="","",INDEX(Checklists!$B:$B,$K118)))</f>
        <v/>
      </c>
      <c r="D118" s="11" t="str">
        <f aca="false">IF($K118="","",IF(INDEX(Checklists!$E:$E,$K118)="","",INDEX(Checklists!$E:$E,$K118)))</f>
        <v/>
      </c>
      <c r="E118" s="11" t="str">
        <f aca="false">IF($K118="","",IF(INDEX(Checklists!$H:$H,$K118)="","",INDEX(Checklists!$H:$H,$K118)))</f>
        <v/>
      </c>
      <c r="F118" s="11" t="str">
        <f aca="false">IF($K118="","",IF(INDEX(Checklists!$I:$I,$K118)="","",INDEX(Checklists!$I:$I,$K118)))</f>
        <v/>
      </c>
      <c r="G118" s="13" t="str">
        <f aca="false">IF($K118="","",IF(INDEX(Checklists!$J:$J,$K118)="","",INDEX(Checklists!$J:$J,$K118)))</f>
        <v/>
      </c>
      <c r="H118" s="26" t="str">
        <f aca="false">IF($K118="","",IF(INDEX(Checklists!$K:$K,$K118)="","",INDEX(Checklists!$K:$K,$K118)))</f>
        <v/>
      </c>
      <c r="I118" s="13" t="str">
        <f aca="false">IF($K118="","",IF(INDEX(Checklists!$L:$L,$K118)="","",INDEX(Checklists!$L:$L,$K118)))</f>
        <v/>
      </c>
      <c r="K118" s="1" t="str">
        <f aca="false">IFERROR(MATCH(ROWS($K$4:$K118),Checklists!$N$2:$N$291,0)+1,"")</f>
        <v/>
      </c>
    </row>
    <row r="119" customFormat="false" ht="15" hidden="false" customHeight="true" outlineLevel="0" collapsed="false">
      <c r="A119" s="13" t="str">
        <f aca="false">IF($K119="","",ROWS($K$4:$K119))</f>
        <v/>
      </c>
      <c r="B119" s="13" t="str">
        <f aca="false">IF($K119="","",IF(INDEX(Checklists!$A:$A,$K119)="","",INDEX(Checklists!$A:$A,$K119)))</f>
        <v/>
      </c>
      <c r="C119" s="13" t="str">
        <f aca="false">IF($K119="","",IF(INDEX(Checklists!$B:$B,$K119)="","",INDEX(Checklists!$B:$B,$K119)))</f>
        <v/>
      </c>
      <c r="D119" s="11" t="str">
        <f aca="false">IF($K119="","",IF(INDEX(Checklists!$E:$E,$K119)="","",INDEX(Checklists!$E:$E,$K119)))</f>
        <v/>
      </c>
      <c r="E119" s="11" t="str">
        <f aca="false">IF($K119="","",IF(INDEX(Checklists!$H:$H,$K119)="","",INDEX(Checklists!$H:$H,$K119)))</f>
        <v/>
      </c>
      <c r="F119" s="11" t="str">
        <f aca="false">IF($K119="","",IF(INDEX(Checklists!$I:$I,$K119)="","",INDEX(Checklists!$I:$I,$K119)))</f>
        <v/>
      </c>
      <c r="G119" s="13" t="str">
        <f aca="false">IF($K119="","",IF(INDEX(Checklists!$J:$J,$K119)="","",INDEX(Checklists!$J:$J,$K119)))</f>
        <v/>
      </c>
      <c r="H119" s="26" t="str">
        <f aca="false">IF($K119="","",IF(INDEX(Checklists!$K:$K,$K119)="","",INDEX(Checklists!$K:$K,$K119)))</f>
        <v/>
      </c>
      <c r="I119" s="13" t="str">
        <f aca="false">IF($K119="","",IF(INDEX(Checklists!$L:$L,$K119)="","",INDEX(Checklists!$L:$L,$K119)))</f>
        <v/>
      </c>
      <c r="K119" s="1" t="str">
        <f aca="false">IFERROR(MATCH(ROWS($K$4:$K119),Checklists!$N$2:$N$291,0)+1,"")</f>
        <v/>
      </c>
    </row>
    <row r="120" customFormat="false" ht="15" hidden="false" customHeight="true" outlineLevel="0" collapsed="false">
      <c r="A120" s="13" t="str">
        <f aca="false">IF($K120="","",ROWS($K$4:$K120))</f>
        <v/>
      </c>
      <c r="B120" s="13" t="str">
        <f aca="false">IF($K120="","",IF(INDEX(Checklists!$A:$A,$K120)="","",INDEX(Checklists!$A:$A,$K120)))</f>
        <v/>
      </c>
      <c r="C120" s="13" t="str">
        <f aca="false">IF($K120="","",IF(INDEX(Checklists!$B:$B,$K120)="","",INDEX(Checklists!$B:$B,$K120)))</f>
        <v/>
      </c>
      <c r="D120" s="11" t="str">
        <f aca="false">IF($K120="","",IF(INDEX(Checklists!$E:$E,$K120)="","",INDEX(Checklists!$E:$E,$K120)))</f>
        <v/>
      </c>
      <c r="E120" s="11" t="str">
        <f aca="false">IF($K120="","",IF(INDEX(Checklists!$H:$H,$K120)="","",INDEX(Checklists!$H:$H,$K120)))</f>
        <v/>
      </c>
      <c r="F120" s="11" t="str">
        <f aca="false">IF($K120="","",IF(INDEX(Checklists!$I:$I,$K120)="","",INDEX(Checklists!$I:$I,$K120)))</f>
        <v/>
      </c>
      <c r="G120" s="13" t="str">
        <f aca="false">IF($K120="","",IF(INDEX(Checklists!$J:$J,$K120)="","",INDEX(Checklists!$J:$J,$K120)))</f>
        <v/>
      </c>
      <c r="H120" s="26" t="str">
        <f aca="false">IF($K120="","",IF(INDEX(Checklists!$K:$K,$K120)="","",INDEX(Checklists!$K:$K,$K120)))</f>
        <v/>
      </c>
      <c r="I120" s="13" t="str">
        <f aca="false">IF($K120="","",IF(INDEX(Checklists!$L:$L,$K120)="","",INDEX(Checklists!$L:$L,$K120)))</f>
        <v/>
      </c>
      <c r="K120" s="1" t="str">
        <f aca="false">IFERROR(MATCH(ROWS($K$4:$K120),Checklists!$N$2:$N$291,0)+1,"")</f>
        <v/>
      </c>
    </row>
    <row r="121" customFormat="false" ht="15" hidden="false" customHeight="true" outlineLevel="0" collapsed="false">
      <c r="A121" s="13" t="str">
        <f aca="false">IF($K121="","",ROWS($K$4:$K121))</f>
        <v/>
      </c>
      <c r="B121" s="13" t="str">
        <f aca="false">IF($K121="","",IF(INDEX(Checklists!$A:$A,$K121)="","",INDEX(Checklists!$A:$A,$K121)))</f>
        <v/>
      </c>
      <c r="C121" s="13" t="str">
        <f aca="false">IF($K121="","",IF(INDEX(Checklists!$B:$B,$K121)="","",INDEX(Checklists!$B:$B,$K121)))</f>
        <v/>
      </c>
      <c r="D121" s="11" t="str">
        <f aca="false">IF($K121="","",IF(INDEX(Checklists!$E:$E,$K121)="","",INDEX(Checklists!$E:$E,$K121)))</f>
        <v/>
      </c>
      <c r="E121" s="11" t="str">
        <f aca="false">IF($K121="","",IF(INDEX(Checklists!$H:$H,$K121)="","",INDEX(Checklists!$H:$H,$K121)))</f>
        <v/>
      </c>
      <c r="F121" s="11" t="str">
        <f aca="false">IF($K121="","",IF(INDEX(Checklists!$I:$I,$K121)="","",INDEX(Checklists!$I:$I,$K121)))</f>
        <v/>
      </c>
      <c r="G121" s="13" t="str">
        <f aca="false">IF($K121="","",IF(INDEX(Checklists!$J:$J,$K121)="","",INDEX(Checklists!$J:$J,$K121)))</f>
        <v/>
      </c>
      <c r="H121" s="26" t="str">
        <f aca="false">IF($K121="","",IF(INDEX(Checklists!$K:$K,$K121)="","",INDEX(Checklists!$K:$K,$K121)))</f>
        <v/>
      </c>
      <c r="I121" s="13" t="str">
        <f aca="false">IF($K121="","",IF(INDEX(Checklists!$L:$L,$K121)="","",INDEX(Checklists!$L:$L,$K121)))</f>
        <v/>
      </c>
      <c r="K121" s="1" t="str">
        <f aca="false">IFERROR(MATCH(ROWS($K$4:$K121),Checklists!$N$2:$N$291,0)+1,"")</f>
        <v/>
      </c>
    </row>
    <row r="122" customFormat="false" ht="15" hidden="false" customHeight="true" outlineLevel="0" collapsed="false">
      <c r="A122" s="13" t="str">
        <f aca="false">IF($K122="","",ROWS($K$4:$K122))</f>
        <v/>
      </c>
      <c r="B122" s="13" t="str">
        <f aca="false">IF($K122="","",IF(INDEX(Checklists!$A:$A,$K122)="","",INDEX(Checklists!$A:$A,$K122)))</f>
        <v/>
      </c>
      <c r="C122" s="13" t="str">
        <f aca="false">IF($K122="","",IF(INDEX(Checklists!$B:$B,$K122)="","",INDEX(Checklists!$B:$B,$K122)))</f>
        <v/>
      </c>
      <c r="D122" s="11" t="str">
        <f aca="false">IF($K122="","",IF(INDEX(Checklists!$E:$E,$K122)="","",INDEX(Checklists!$E:$E,$K122)))</f>
        <v/>
      </c>
      <c r="E122" s="11" t="str">
        <f aca="false">IF($K122="","",IF(INDEX(Checklists!$H:$H,$K122)="","",INDEX(Checklists!$H:$H,$K122)))</f>
        <v/>
      </c>
      <c r="F122" s="11" t="str">
        <f aca="false">IF($K122="","",IF(INDEX(Checklists!$I:$I,$K122)="","",INDEX(Checklists!$I:$I,$K122)))</f>
        <v/>
      </c>
      <c r="G122" s="13" t="str">
        <f aca="false">IF($K122="","",IF(INDEX(Checklists!$J:$J,$K122)="","",INDEX(Checklists!$J:$J,$K122)))</f>
        <v/>
      </c>
      <c r="H122" s="26" t="str">
        <f aca="false">IF($K122="","",IF(INDEX(Checklists!$K:$K,$K122)="","",INDEX(Checklists!$K:$K,$K122)))</f>
        <v/>
      </c>
      <c r="I122" s="13" t="str">
        <f aca="false">IF($K122="","",IF(INDEX(Checklists!$L:$L,$K122)="","",INDEX(Checklists!$L:$L,$K122)))</f>
        <v/>
      </c>
      <c r="K122" s="1" t="str">
        <f aca="false">IFERROR(MATCH(ROWS($K$4:$K122),Checklists!$N$2:$N$291,0)+1,"")</f>
        <v/>
      </c>
    </row>
    <row r="123" customFormat="false" ht="15" hidden="false" customHeight="true" outlineLevel="0" collapsed="false">
      <c r="A123" s="13" t="str">
        <f aca="false">IF($K123="","",ROWS($K$4:$K123))</f>
        <v/>
      </c>
      <c r="B123" s="13" t="str">
        <f aca="false">IF($K123="","",IF(INDEX(Checklists!$A:$A,$K123)="","",INDEX(Checklists!$A:$A,$K123)))</f>
        <v/>
      </c>
      <c r="C123" s="13" t="str">
        <f aca="false">IF($K123="","",IF(INDEX(Checklists!$B:$B,$K123)="","",INDEX(Checklists!$B:$B,$K123)))</f>
        <v/>
      </c>
      <c r="D123" s="11" t="str">
        <f aca="false">IF($K123="","",IF(INDEX(Checklists!$E:$E,$K123)="","",INDEX(Checklists!$E:$E,$K123)))</f>
        <v/>
      </c>
      <c r="E123" s="11" t="str">
        <f aca="false">IF($K123="","",IF(INDEX(Checklists!$H:$H,$K123)="","",INDEX(Checklists!$H:$H,$K123)))</f>
        <v/>
      </c>
      <c r="F123" s="11" t="str">
        <f aca="false">IF($K123="","",IF(INDEX(Checklists!$I:$I,$K123)="","",INDEX(Checklists!$I:$I,$K123)))</f>
        <v/>
      </c>
      <c r="G123" s="13" t="str">
        <f aca="false">IF($K123="","",IF(INDEX(Checklists!$J:$J,$K123)="","",INDEX(Checklists!$J:$J,$K123)))</f>
        <v/>
      </c>
      <c r="H123" s="26" t="str">
        <f aca="false">IF($K123="","",IF(INDEX(Checklists!$K:$K,$K123)="","",INDEX(Checklists!$K:$K,$K123)))</f>
        <v/>
      </c>
      <c r="I123" s="13" t="str">
        <f aca="false">IF($K123="","",IF(INDEX(Checklists!$L:$L,$K123)="","",INDEX(Checklists!$L:$L,$K123)))</f>
        <v/>
      </c>
      <c r="K123" s="1" t="str">
        <f aca="false">IFERROR(MATCH(ROWS($K$4:$K123),Checklists!$N$2:$N$291,0)+1,"")</f>
        <v/>
      </c>
    </row>
    <row r="124" customFormat="false" ht="15" hidden="false" customHeight="true" outlineLevel="0" collapsed="false">
      <c r="A124" s="13" t="str">
        <f aca="false">IF($K124="","",ROWS($K$4:$K124))</f>
        <v/>
      </c>
      <c r="B124" s="13" t="str">
        <f aca="false">IF($K124="","",IF(INDEX(Checklists!$A:$A,$K124)="","",INDEX(Checklists!$A:$A,$K124)))</f>
        <v/>
      </c>
      <c r="C124" s="13" t="str">
        <f aca="false">IF($K124="","",IF(INDEX(Checklists!$B:$B,$K124)="","",INDEX(Checklists!$B:$B,$K124)))</f>
        <v/>
      </c>
      <c r="D124" s="11" t="str">
        <f aca="false">IF($K124="","",IF(INDEX(Checklists!$E:$E,$K124)="","",INDEX(Checklists!$E:$E,$K124)))</f>
        <v/>
      </c>
      <c r="E124" s="11" t="str">
        <f aca="false">IF($K124="","",IF(INDEX(Checklists!$H:$H,$K124)="","",INDEX(Checklists!$H:$H,$K124)))</f>
        <v/>
      </c>
      <c r="F124" s="11" t="str">
        <f aca="false">IF($K124="","",IF(INDEX(Checklists!$I:$I,$K124)="","",INDEX(Checklists!$I:$I,$K124)))</f>
        <v/>
      </c>
      <c r="G124" s="13" t="str">
        <f aca="false">IF($K124="","",IF(INDEX(Checklists!$J:$J,$K124)="","",INDEX(Checklists!$J:$J,$K124)))</f>
        <v/>
      </c>
      <c r="H124" s="26" t="str">
        <f aca="false">IF($K124="","",IF(INDEX(Checklists!$K:$K,$K124)="","",INDEX(Checklists!$K:$K,$K124)))</f>
        <v/>
      </c>
      <c r="I124" s="13" t="str">
        <f aca="false">IF($K124="","",IF(INDEX(Checklists!$L:$L,$K124)="","",INDEX(Checklists!$L:$L,$K124)))</f>
        <v/>
      </c>
      <c r="K124" s="1" t="str">
        <f aca="false">IFERROR(MATCH(ROWS($K$4:$K124),Checklists!$N$2:$N$291,0)+1,"")</f>
        <v/>
      </c>
    </row>
    <row r="125" customFormat="false" ht="15" hidden="false" customHeight="true" outlineLevel="0" collapsed="false">
      <c r="A125" s="13" t="str">
        <f aca="false">IF($K125="","",ROWS($K$4:$K125))</f>
        <v/>
      </c>
      <c r="B125" s="13" t="str">
        <f aca="false">IF($K125="","",IF(INDEX(Checklists!$A:$A,$K125)="","",INDEX(Checklists!$A:$A,$K125)))</f>
        <v/>
      </c>
      <c r="C125" s="13" t="str">
        <f aca="false">IF($K125="","",IF(INDEX(Checklists!$B:$B,$K125)="","",INDEX(Checklists!$B:$B,$K125)))</f>
        <v/>
      </c>
      <c r="D125" s="11" t="str">
        <f aca="false">IF($K125="","",IF(INDEX(Checklists!$E:$E,$K125)="","",INDEX(Checklists!$E:$E,$K125)))</f>
        <v/>
      </c>
      <c r="E125" s="11" t="str">
        <f aca="false">IF($K125="","",IF(INDEX(Checklists!$H:$H,$K125)="","",INDEX(Checklists!$H:$H,$K125)))</f>
        <v/>
      </c>
      <c r="F125" s="11" t="str">
        <f aca="false">IF($K125="","",IF(INDEX(Checklists!$I:$I,$K125)="","",INDEX(Checklists!$I:$I,$K125)))</f>
        <v/>
      </c>
      <c r="G125" s="13" t="str">
        <f aca="false">IF($K125="","",IF(INDEX(Checklists!$J:$J,$K125)="","",INDEX(Checklists!$J:$J,$K125)))</f>
        <v/>
      </c>
      <c r="H125" s="26" t="str">
        <f aca="false">IF($K125="","",IF(INDEX(Checklists!$K:$K,$K125)="","",INDEX(Checklists!$K:$K,$K125)))</f>
        <v/>
      </c>
      <c r="I125" s="13" t="str">
        <f aca="false">IF($K125="","",IF(INDEX(Checklists!$L:$L,$K125)="","",INDEX(Checklists!$L:$L,$K125)))</f>
        <v/>
      </c>
      <c r="K125" s="1" t="str">
        <f aca="false">IFERROR(MATCH(ROWS($K$4:$K125),Checklists!$N$2:$N$291,0)+1,"")</f>
        <v/>
      </c>
    </row>
    <row r="126" customFormat="false" ht="15" hidden="false" customHeight="true" outlineLevel="0" collapsed="false">
      <c r="A126" s="13" t="str">
        <f aca="false">IF($K126="","",ROWS($K$4:$K126))</f>
        <v/>
      </c>
      <c r="B126" s="13" t="str">
        <f aca="false">IF($K126="","",IF(INDEX(Checklists!$A:$A,$K126)="","",INDEX(Checklists!$A:$A,$K126)))</f>
        <v/>
      </c>
      <c r="C126" s="13" t="str">
        <f aca="false">IF($K126="","",IF(INDEX(Checklists!$B:$B,$K126)="","",INDEX(Checklists!$B:$B,$K126)))</f>
        <v/>
      </c>
      <c r="D126" s="11" t="str">
        <f aca="false">IF($K126="","",IF(INDEX(Checklists!$E:$E,$K126)="","",INDEX(Checklists!$E:$E,$K126)))</f>
        <v/>
      </c>
      <c r="E126" s="11" t="str">
        <f aca="false">IF($K126="","",IF(INDEX(Checklists!$H:$H,$K126)="","",INDEX(Checklists!$H:$H,$K126)))</f>
        <v/>
      </c>
      <c r="F126" s="11" t="str">
        <f aca="false">IF($K126="","",IF(INDEX(Checklists!$I:$I,$K126)="","",INDEX(Checklists!$I:$I,$K126)))</f>
        <v/>
      </c>
      <c r="G126" s="13" t="str">
        <f aca="false">IF($K126="","",IF(INDEX(Checklists!$J:$J,$K126)="","",INDEX(Checklists!$J:$J,$K126)))</f>
        <v/>
      </c>
      <c r="H126" s="26" t="str">
        <f aca="false">IF($K126="","",IF(INDEX(Checklists!$K:$K,$K126)="","",INDEX(Checklists!$K:$K,$K126)))</f>
        <v/>
      </c>
      <c r="I126" s="13" t="str">
        <f aca="false">IF($K126="","",IF(INDEX(Checklists!$L:$L,$K126)="","",INDEX(Checklists!$L:$L,$K126)))</f>
        <v/>
      </c>
      <c r="K126" s="1" t="str">
        <f aca="false">IFERROR(MATCH(ROWS($K$4:$K126),Checklists!$N$2:$N$291,0)+1,"")</f>
        <v/>
      </c>
    </row>
    <row r="127" customFormat="false" ht="15" hidden="false" customHeight="true" outlineLevel="0" collapsed="false">
      <c r="A127" s="13" t="str">
        <f aca="false">IF($K127="","",ROWS($K$4:$K127))</f>
        <v/>
      </c>
      <c r="B127" s="13" t="str">
        <f aca="false">IF($K127="","",IF(INDEX(Checklists!$A:$A,$K127)="","",INDEX(Checklists!$A:$A,$K127)))</f>
        <v/>
      </c>
      <c r="C127" s="13" t="str">
        <f aca="false">IF($K127="","",IF(INDEX(Checklists!$B:$B,$K127)="","",INDEX(Checklists!$B:$B,$K127)))</f>
        <v/>
      </c>
      <c r="D127" s="11" t="str">
        <f aca="false">IF($K127="","",IF(INDEX(Checklists!$E:$E,$K127)="","",INDEX(Checklists!$E:$E,$K127)))</f>
        <v/>
      </c>
      <c r="E127" s="11" t="str">
        <f aca="false">IF($K127="","",IF(INDEX(Checklists!$H:$H,$K127)="","",INDEX(Checklists!$H:$H,$K127)))</f>
        <v/>
      </c>
      <c r="F127" s="11" t="str">
        <f aca="false">IF($K127="","",IF(INDEX(Checklists!$I:$I,$K127)="","",INDEX(Checklists!$I:$I,$K127)))</f>
        <v/>
      </c>
      <c r="G127" s="13" t="str">
        <f aca="false">IF($K127="","",IF(INDEX(Checklists!$J:$J,$K127)="","",INDEX(Checklists!$J:$J,$K127)))</f>
        <v/>
      </c>
      <c r="H127" s="26" t="str">
        <f aca="false">IF($K127="","",IF(INDEX(Checklists!$K:$K,$K127)="","",INDEX(Checklists!$K:$K,$K127)))</f>
        <v/>
      </c>
      <c r="I127" s="13" t="str">
        <f aca="false">IF($K127="","",IF(INDEX(Checklists!$L:$L,$K127)="","",INDEX(Checklists!$L:$L,$K127)))</f>
        <v/>
      </c>
      <c r="K127" s="1" t="str">
        <f aca="false">IFERROR(MATCH(ROWS($K$4:$K127),Checklists!$N$2:$N$291,0)+1,"")</f>
        <v/>
      </c>
    </row>
    <row r="128" customFormat="false" ht="15" hidden="false" customHeight="true" outlineLevel="0" collapsed="false">
      <c r="A128" s="13" t="str">
        <f aca="false">IF($K128="","",ROWS($K$4:$K128))</f>
        <v/>
      </c>
      <c r="B128" s="13" t="str">
        <f aca="false">IF($K128="","",IF(INDEX(Checklists!$A:$A,$K128)="","",INDEX(Checklists!$A:$A,$K128)))</f>
        <v/>
      </c>
      <c r="C128" s="13" t="str">
        <f aca="false">IF($K128="","",IF(INDEX(Checklists!$B:$B,$K128)="","",INDEX(Checklists!$B:$B,$K128)))</f>
        <v/>
      </c>
      <c r="D128" s="11" t="str">
        <f aca="false">IF($K128="","",IF(INDEX(Checklists!$E:$E,$K128)="","",INDEX(Checklists!$E:$E,$K128)))</f>
        <v/>
      </c>
      <c r="E128" s="11" t="str">
        <f aca="false">IF($K128="","",IF(INDEX(Checklists!$H:$H,$K128)="","",INDEX(Checklists!$H:$H,$K128)))</f>
        <v/>
      </c>
      <c r="F128" s="11" t="str">
        <f aca="false">IF($K128="","",IF(INDEX(Checklists!$I:$I,$K128)="","",INDEX(Checklists!$I:$I,$K128)))</f>
        <v/>
      </c>
      <c r="G128" s="13" t="str">
        <f aca="false">IF($K128="","",IF(INDEX(Checklists!$J:$J,$K128)="","",INDEX(Checklists!$J:$J,$K128)))</f>
        <v/>
      </c>
      <c r="H128" s="26" t="str">
        <f aca="false">IF($K128="","",IF(INDEX(Checklists!$K:$K,$K128)="","",INDEX(Checklists!$K:$K,$K128)))</f>
        <v/>
      </c>
      <c r="I128" s="13" t="str">
        <f aca="false">IF($K128="","",IF(INDEX(Checklists!$L:$L,$K128)="","",INDEX(Checklists!$L:$L,$K128)))</f>
        <v/>
      </c>
      <c r="K128" s="1" t="str">
        <f aca="false">IFERROR(MATCH(ROWS($K$4:$K128),Checklists!$N$2:$N$291,0)+1,"")</f>
        <v/>
      </c>
    </row>
    <row r="129" customFormat="false" ht="15" hidden="false" customHeight="true" outlineLevel="0" collapsed="false">
      <c r="A129" s="13" t="str">
        <f aca="false">IF($K129="","",ROWS($K$4:$K129))</f>
        <v/>
      </c>
      <c r="B129" s="13" t="str">
        <f aca="false">IF($K129="","",IF(INDEX(Checklists!$A:$A,$K129)="","",INDEX(Checklists!$A:$A,$K129)))</f>
        <v/>
      </c>
      <c r="C129" s="13" t="str">
        <f aca="false">IF($K129="","",IF(INDEX(Checklists!$B:$B,$K129)="","",INDEX(Checklists!$B:$B,$K129)))</f>
        <v/>
      </c>
      <c r="D129" s="11" t="str">
        <f aca="false">IF($K129="","",IF(INDEX(Checklists!$E:$E,$K129)="","",INDEX(Checklists!$E:$E,$K129)))</f>
        <v/>
      </c>
      <c r="E129" s="11" t="str">
        <f aca="false">IF($K129="","",IF(INDEX(Checklists!$H:$H,$K129)="","",INDEX(Checklists!$H:$H,$K129)))</f>
        <v/>
      </c>
      <c r="F129" s="11" t="str">
        <f aca="false">IF($K129="","",IF(INDEX(Checklists!$I:$I,$K129)="","",INDEX(Checklists!$I:$I,$K129)))</f>
        <v/>
      </c>
      <c r="G129" s="13" t="str">
        <f aca="false">IF($K129="","",IF(INDEX(Checklists!$J:$J,$K129)="","",INDEX(Checklists!$J:$J,$K129)))</f>
        <v/>
      </c>
      <c r="H129" s="26" t="str">
        <f aca="false">IF($K129="","",IF(INDEX(Checklists!$K:$K,$K129)="","",INDEX(Checklists!$K:$K,$K129)))</f>
        <v/>
      </c>
      <c r="I129" s="13" t="str">
        <f aca="false">IF($K129="","",IF(INDEX(Checklists!$L:$L,$K129)="","",INDEX(Checklists!$L:$L,$K129)))</f>
        <v/>
      </c>
      <c r="K129" s="1" t="str">
        <f aca="false">IFERROR(MATCH(ROWS($K$4:$K129),Checklists!$N$2:$N$291,0)+1,"")</f>
        <v/>
      </c>
    </row>
    <row r="130" customFormat="false" ht="15" hidden="false" customHeight="true" outlineLevel="0" collapsed="false">
      <c r="A130" s="13" t="str">
        <f aca="false">IF($K130="","",ROWS($K$4:$K130))</f>
        <v/>
      </c>
      <c r="B130" s="13" t="str">
        <f aca="false">IF($K130="","",IF(INDEX(Checklists!$A:$A,$K130)="","",INDEX(Checklists!$A:$A,$K130)))</f>
        <v/>
      </c>
      <c r="C130" s="13" t="str">
        <f aca="false">IF($K130="","",IF(INDEX(Checklists!$B:$B,$K130)="","",INDEX(Checklists!$B:$B,$K130)))</f>
        <v/>
      </c>
      <c r="D130" s="11" t="str">
        <f aca="false">IF($K130="","",IF(INDEX(Checklists!$E:$E,$K130)="","",INDEX(Checklists!$E:$E,$K130)))</f>
        <v/>
      </c>
      <c r="E130" s="11" t="str">
        <f aca="false">IF($K130="","",IF(INDEX(Checklists!$H:$H,$K130)="","",INDEX(Checklists!$H:$H,$K130)))</f>
        <v/>
      </c>
      <c r="F130" s="11" t="str">
        <f aca="false">IF($K130="","",IF(INDEX(Checklists!$I:$I,$K130)="","",INDEX(Checklists!$I:$I,$K130)))</f>
        <v/>
      </c>
      <c r="G130" s="13" t="str">
        <f aca="false">IF($K130="","",IF(INDEX(Checklists!$J:$J,$K130)="","",INDEX(Checklists!$J:$J,$K130)))</f>
        <v/>
      </c>
      <c r="H130" s="26" t="str">
        <f aca="false">IF($K130="","",IF(INDEX(Checklists!$K:$K,$K130)="","",INDEX(Checklists!$K:$K,$K130)))</f>
        <v/>
      </c>
      <c r="I130" s="13" t="str">
        <f aca="false">IF($K130="","",IF(INDEX(Checklists!$L:$L,$K130)="","",INDEX(Checklists!$L:$L,$K130)))</f>
        <v/>
      </c>
      <c r="K130" s="1" t="str">
        <f aca="false">IFERROR(MATCH(ROWS($K$4:$K130),Checklists!$N$2:$N$291,0)+1,"")</f>
        <v/>
      </c>
    </row>
    <row r="131" customFormat="false" ht="15" hidden="false" customHeight="true" outlineLevel="0" collapsed="false">
      <c r="A131" s="13" t="str">
        <f aca="false">IF($K131="","",ROWS($K$4:$K131))</f>
        <v/>
      </c>
      <c r="B131" s="13" t="str">
        <f aca="false">IF($K131="","",IF(INDEX(Checklists!$A:$A,$K131)="","",INDEX(Checklists!$A:$A,$K131)))</f>
        <v/>
      </c>
      <c r="C131" s="13" t="str">
        <f aca="false">IF($K131="","",IF(INDEX(Checklists!$B:$B,$K131)="","",INDEX(Checklists!$B:$B,$K131)))</f>
        <v/>
      </c>
      <c r="D131" s="11" t="str">
        <f aca="false">IF($K131="","",IF(INDEX(Checklists!$E:$E,$K131)="","",INDEX(Checklists!$E:$E,$K131)))</f>
        <v/>
      </c>
      <c r="E131" s="11" t="str">
        <f aca="false">IF($K131="","",IF(INDEX(Checklists!$H:$H,$K131)="","",INDEX(Checklists!$H:$H,$K131)))</f>
        <v/>
      </c>
      <c r="F131" s="11" t="str">
        <f aca="false">IF($K131="","",IF(INDEX(Checklists!$I:$I,$K131)="","",INDEX(Checklists!$I:$I,$K131)))</f>
        <v/>
      </c>
      <c r="G131" s="13" t="str">
        <f aca="false">IF($K131="","",IF(INDEX(Checklists!$J:$J,$K131)="","",INDEX(Checklists!$J:$J,$K131)))</f>
        <v/>
      </c>
      <c r="H131" s="26" t="str">
        <f aca="false">IF($K131="","",IF(INDEX(Checklists!$K:$K,$K131)="","",INDEX(Checklists!$K:$K,$K131)))</f>
        <v/>
      </c>
      <c r="I131" s="13" t="str">
        <f aca="false">IF($K131="","",IF(INDEX(Checklists!$L:$L,$K131)="","",INDEX(Checklists!$L:$L,$K131)))</f>
        <v/>
      </c>
      <c r="K131" s="1" t="str">
        <f aca="false">IFERROR(MATCH(ROWS($K$4:$K131),Checklists!$N$2:$N$291,0)+1,"")</f>
        <v/>
      </c>
    </row>
    <row r="132" customFormat="false" ht="15" hidden="false" customHeight="true" outlineLevel="0" collapsed="false">
      <c r="A132" s="13" t="str">
        <f aca="false">IF($K132="","",ROWS($K$4:$K132))</f>
        <v/>
      </c>
      <c r="B132" s="13" t="str">
        <f aca="false">IF($K132="","",IF(INDEX(Checklists!$A:$A,$K132)="","",INDEX(Checklists!$A:$A,$K132)))</f>
        <v/>
      </c>
      <c r="C132" s="13" t="str">
        <f aca="false">IF($K132="","",IF(INDEX(Checklists!$B:$B,$K132)="","",INDEX(Checklists!$B:$B,$K132)))</f>
        <v/>
      </c>
      <c r="D132" s="11" t="str">
        <f aca="false">IF($K132="","",IF(INDEX(Checklists!$E:$E,$K132)="","",INDEX(Checklists!$E:$E,$K132)))</f>
        <v/>
      </c>
      <c r="E132" s="11" t="str">
        <f aca="false">IF($K132="","",IF(INDEX(Checklists!$H:$H,$K132)="","",INDEX(Checklists!$H:$H,$K132)))</f>
        <v/>
      </c>
      <c r="F132" s="11" t="str">
        <f aca="false">IF($K132="","",IF(INDEX(Checklists!$I:$I,$K132)="","",INDEX(Checklists!$I:$I,$K132)))</f>
        <v/>
      </c>
      <c r="G132" s="13" t="str">
        <f aca="false">IF($K132="","",IF(INDEX(Checklists!$J:$J,$K132)="","",INDEX(Checklists!$J:$J,$K132)))</f>
        <v/>
      </c>
      <c r="H132" s="26" t="str">
        <f aca="false">IF($K132="","",IF(INDEX(Checklists!$K:$K,$K132)="","",INDEX(Checklists!$K:$K,$K132)))</f>
        <v/>
      </c>
      <c r="I132" s="13" t="str">
        <f aca="false">IF($K132="","",IF(INDEX(Checklists!$L:$L,$K132)="","",INDEX(Checklists!$L:$L,$K132)))</f>
        <v/>
      </c>
      <c r="K132" s="1" t="str">
        <f aca="false">IFERROR(MATCH(ROWS($K$4:$K132),Checklists!$N$2:$N$291,0)+1,"")</f>
        <v/>
      </c>
    </row>
    <row r="133" customFormat="false" ht="15" hidden="false" customHeight="true" outlineLevel="0" collapsed="false">
      <c r="A133" s="13" t="str">
        <f aca="false">IF($K133="","",ROWS($K$4:$K133))</f>
        <v/>
      </c>
      <c r="B133" s="13" t="str">
        <f aca="false">IF($K133="","",IF(INDEX(Checklists!$A:$A,$K133)="","",INDEX(Checklists!$A:$A,$K133)))</f>
        <v/>
      </c>
      <c r="C133" s="13" t="str">
        <f aca="false">IF($K133="","",IF(INDEX(Checklists!$B:$B,$K133)="","",INDEX(Checklists!$B:$B,$K133)))</f>
        <v/>
      </c>
      <c r="D133" s="11" t="str">
        <f aca="false">IF($K133="","",IF(INDEX(Checklists!$E:$E,$K133)="","",INDEX(Checklists!$E:$E,$K133)))</f>
        <v/>
      </c>
      <c r="E133" s="11" t="str">
        <f aca="false">IF($K133="","",IF(INDEX(Checklists!$H:$H,$K133)="","",INDEX(Checklists!$H:$H,$K133)))</f>
        <v/>
      </c>
      <c r="F133" s="11" t="str">
        <f aca="false">IF($K133="","",IF(INDEX(Checklists!$I:$I,$K133)="","",INDEX(Checklists!$I:$I,$K133)))</f>
        <v/>
      </c>
      <c r="G133" s="13" t="str">
        <f aca="false">IF($K133="","",IF(INDEX(Checklists!$J:$J,$K133)="","",INDEX(Checklists!$J:$J,$K133)))</f>
        <v/>
      </c>
      <c r="H133" s="26" t="str">
        <f aca="false">IF($K133="","",IF(INDEX(Checklists!$K:$K,$K133)="","",INDEX(Checklists!$K:$K,$K133)))</f>
        <v/>
      </c>
      <c r="I133" s="13" t="str">
        <f aca="false">IF($K133="","",IF(INDEX(Checklists!$L:$L,$K133)="","",INDEX(Checklists!$L:$L,$K133)))</f>
        <v/>
      </c>
      <c r="K133" s="1" t="str">
        <f aca="false">IFERROR(MATCH(ROWS($K$4:$K133),Checklists!$N$2:$N$291,0)+1,"")</f>
        <v/>
      </c>
    </row>
    <row r="134" customFormat="false" ht="15" hidden="false" customHeight="true" outlineLevel="0" collapsed="false">
      <c r="A134" s="13" t="str">
        <f aca="false">IF($K134="","",ROWS($K$4:$K134))</f>
        <v/>
      </c>
      <c r="B134" s="13" t="str">
        <f aca="false">IF($K134="","",IF(INDEX(Checklists!$A:$A,$K134)="","",INDEX(Checklists!$A:$A,$K134)))</f>
        <v/>
      </c>
      <c r="C134" s="13" t="str">
        <f aca="false">IF($K134="","",IF(INDEX(Checklists!$B:$B,$K134)="","",INDEX(Checklists!$B:$B,$K134)))</f>
        <v/>
      </c>
      <c r="D134" s="11" t="str">
        <f aca="false">IF($K134="","",IF(INDEX(Checklists!$E:$E,$K134)="","",INDEX(Checklists!$E:$E,$K134)))</f>
        <v/>
      </c>
      <c r="E134" s="11" t="str">
        <f aca="false">IF($K134="","",IF(INDEX(Checklists!$H:$H,$K134)="","",INDEX(Checklists!$H:$H,$K134)))</f>
        <v/>
      </c>
      <c r="F134" s="11" t="str">
        <f aca="false">IF($K134="","",IF(INDEX(Checklists!$I:$I,$K134)="","",INDEX(Checklists!$I:$I,$K134)))</f>
        <v/>
      </c>
      <c r="G134" s="13" t="str">
        <f aca="false">IF($K134="","",IF(INDEX(Checklists!$J:$J,$K134)="","",INDEX(Checklists!$J:$J,$K134)))</f>
        <v/>
      </c>
      <c r="H134" s="26" t="str">
        <f aca="false">IF($K134="","",IF(INDEX(Checklists!$K:$K,$K134)="","",INDEX(Checklists!$K:$K,$K134)))</f>
        <v/>
      </c>
      <c r="I134" s="13" t="str">
        <f aca="false">IF($K134="","",IF(INDEX(Checklists!$L:$L,$K134)="","",INDEX(Checklists!$L:$L,$K134)))</f>
        <v/>
      </c>
      <c r="K134" s="1" t="str">
        <f aca="false">IFERROR(MATCH(ROWS($K$4:$K134),Checklists!$N$2:$N$291,0)+1,"")</f>
        <v/>
      </c>
    </row>
    <row r="135" customFormat="false" ht="15" hidden="false" customHeight="true" outlineLevel="0" collapsed="false">
      <c r="A135" s="13" t="str">
        <f aca="false">IF($K135="","",ROWS($K$4:$K135))</f>
        <v/>
      </c>
      <c r="B135" s="13" t="str">
        <f aca="false">IF($K135="","",IF(INDEX(Checklists!$A:$A,$K135)="","",INDEX(Checklists!$A:$A,$K135)))</f>
        <v/>
      </c>
      <c r="C135" s="13" t="str">
        <f aca="false">IF($K135="","",IF(INDEX(Checklists!$B:$B,$K135)="","",INDEX(Checklists!$B:$B,$K135)))</f>
        <v/>
      </c>
      <c r="D135" s="11" t="str">
        <f aca="false">IF($K135="","",IF(INDEX(Checklists!$E:$E,$K135)="","",INDEX(Checklists!$E:$E,$K135)))</f>
        <v/>
      </c>
      <c r="E135" s="11" t="str">
        <f aca="false">IF($K135="","",IF(INDEX(Checklists!$H:$H,$K135)="","",INDEX(Checklists!$H:$H,$K135)))</f>
        <v/>
      </c>
      <c r="F135" s="11" t="str">
        <f aca="false">IF($K135="","",IF(INDEX(Checklists!$I:$I,$K135)="","",INDEX(Checklists!$I:$I,$K135)))</f>
        <v/>
      </c>
      <c r="G135" s="13" t="str">
        <f aca="false">IF($K135="","",IF(INDEX(Checklists!$J:$J,$K135)="","",INDEX(Checklists!$J:$J,$K135)))</f>
        <v/>
      </c>
      <c r="H135" s="26" t="str">
        <f aca="false">IF($K135="","",IF(INDEX(Checklists!$K:$K,$K135)="","",INDEX(Checklists!$K:$K,$K135)))</f>
        <v/>
      </c>
      <c r="I135" s="13" t="str">
        <f aca="false">IF($K135="","",IF(INDEX(Checklists!$L:$L,$K135)="","",INDEX(Checklists!$L:$L,$K135)))</f>
        <v/>
      </c>
      <c r="K135" s="1" t="str">
        <f aca="false">IFERROR(MATCH(ROWS($K$4:$K135),Checklists!$N$2:$N$291,0)+1,"")</f>
        <v/>
      </c>
    </row>
    <row r="136" customFormat="false" ht="15" hidden="false" customHeight="true" outlineLevel="0" collapsed="false">
      <c r="A136" s="13" t="str">
        <f aca="false">IF($K136="","",ROWS($K$4:$K136))</f>
        <v/>
      </c>
      <c r="B136" s="13" t="str">
        <f aca="false">IF($K136="","",IF(INDEX(Checklists!$A:$A,$K136)="","",INDEX(Checklists!$A:$A,$K136)))</f>
        <v/>
      </c>
      <c r="C136" s="13" t="str">
        <f aca="false">IF($K136="","",IF(INDEX(Checklists!$B:$B,$K136)="","",INDEX(Checklists!$B:$B,$K136)))</f>
        <v/>
      </c>
      <c r="D136" s="11" t="str">
        <f aca="false">IF($K136="","",IF(INDEX(Checklists!$E:$E,$K136)="","",INDEX(Checklists!$E:$E,$K136)))</f>
        <v/>
      </c>
      <c r="E136" s="11" t="str">
        <f aca="false">IF($K136="","",IF(INDEX(Checklists!$H:$H,$K136)="","",INDEX(Checklists!$H:$H,$K136)))</f>
        <v/>
      </c>
      <c r="F136" s="11" t="str">
        <f aca="false">IF($K136="","",IF(INDEX(Checklists!$I:$I,$K136)="","",INDEX(Checklists!$I:$I,$K136)))</f>
        <v/>
      </c>
      <c r="G136" s="13" t="str">
        <f aca="false">IF($K136="","",IF(INDEX(Checklists!$J:$J,$K136)="","",INDEX(Checklists!$J:$J,$K136)))</f>
        <v/>
      </c>
      <c r="H136" s="26" t="str">
        <f aca="false">IF($K136="","",IF(INDEX(Checklists!$K:$K,$K136)="","",INDEX(Checklists!$K:$K,$K136)))</f>
        <v/>
      </c>
      <c r="I136" s="13" t="str">
        <f aca="false">IF($K136="","",IF(INDEX(Checklists!$L:$L,$K136)="","",INDEX(Checklists!$L:$L,$K136)))</f>
        <v/>
      </c>
      <c r="K136" s="1" t="str">
        <f aca="false">IFERROR(MATCH(ROWS($K$4:$K136),Checklists!$N$2:$N$291,0)+1,"")</f>
        <v/>
      </c>
    </row>
    <row r="137" customFormat="false" ht="15" hidden="false" customHeight="true" outlineLevel="0" collapsed="false">
      <c r="A137" s="13" t="str">
        <f aca="false">IF($K137="","",ROWS($K$4:$K137))</f>
        <v/>
      </c>
      <c r="B137" s="13" t="str">
        <f aca="false">IF($K137="","",IF(INDEX(Checklists!$A:$A,$K137)="","",INDEX(Checklists!$A:$A,$K137)))</f>
        <v/>
      </c>
      <c r="C137" s="13" t="str">
        <f aca="false">IF($K137="","",IF(INDEX(Checklists!$B:$B,$K137)="","",INDEX(Checklists!$B:$B,$K137)))</f>
        <v/>
      </c>
      <c r="D137" s="11" t="str">
        <f aca="false">IF($K137="","",IF(INDEX(Checklists!$E:$E,$K137)="","",INDEX(Checklists!$E:$E,$K137)))</f>
        <v/>
      </c>
      <c r="E137" s="11" t="str">
        <f aca="false">IF($K137="","",IF(INDEX(Checklists!$H:$H,$K137)="","",INDEX(Checklists!$H:$H,$K137)))</f>
        <v/>
      </c>
      <c r="F137" s="11" t="str">
        <f aca="false">IF($K137="","",IF(INDEX(Checklists!$I:$I,$K137)="","",INDEX(Checklists!$I:$I,$K137)))</f>
        <v/>
      </c>
      <c r="G137" s="13" t="str">
        <f aca="false">IF($K137="","",IF(INDEX(Checklists!$J:$J,$K137)="","",INDEX(Checklists!$J:$J,$K137)))</f>
        <v/>
      </c>
      <c r="H137" s="26" t="str">
        <f aca="false">IF($K137="","",IF(INDEX(Checklists!$K:$K,$K137)="","",INDEX(Checklists!$K:$K,$K137)))</f>
        <v/>
      </c>
      <c r="I137" s="13" t="str">
        <f aca="false">IF($K137="","",IF(INDEX(Checklists!$L:$L,$K137)="","",INDEX(Checklists!$L:$L,$K137)))</f>
        <v/>
      </c>
      <c r="K137" s="1" t="str">
        <f aca="false">IFERROR(MATCH(ROWS($K$4:$K137),Checklists!$N$2:$N$291,0)+1,"")</f>
        <v/>
      </c>
    </row>
    <row r="138" customFormat="false" ht="15" hidden="false" customHeight="true" outlineLevel="0" collapsed="false">
      <c r="A138" s="13" t="str">
        <f aca="false">IF($K138="","",ROWS($K$4:$K138))</f>
        <v/>
      </c>
      <c r="B138" s="13" t="str">
        <f aca="false">IF($K138="","",IF(INDEX(Checklists!$A:$A,$K138)="","",INDEX(Checklists!$A:$A,$K138)))</f>
        <v/>
      </c>
      <c r="C138" s="13" t="str">
        <f aca="false">IF($K138="","",IF(INDEX(Checklists!$B:$B,$K138)="","",INDEX(Checklists!$B:$B,$K138)))</f>
        <v/>
      </c>
      <c r="D138" s="11" t="str">
        <f aca="false">IF($K138="","",IF(INDEX(Checklists!$E:$E,$K138)="","",INDEX(Checklists!$E:$E,$K138)))</f>
        <v/>
      </c>
      <c r="E138" s="11" t="str">
        <f aca="false">IF($K138="","",IF(INDEX(Checklists!$H:$H,$K138)="","",INDEX(Checklists!$H:$H,$K138)))</f>
        <v/>
      </c>
      <c r="F138" s="11" t="str">
        <f aca="false">IF($K138="","",IF(INDEX(Checklists!$I:$I,$K138)="","",INDEX(Checklists!$I:$I,$K138)))</f>
        <v/>
      </c>
      <c r="G138" s="13" t="str">
        <f aca="false">IF($K138="","",IF(INDEX(Checklists!$J:$J,$K138)="","",INDEX(Checklists!$J:$J,$K138)))</f>
        <v/>
      </c>
      <c r="H138" s="26" t="str">
        <f aca="false">IF($K138="","",IF(INDEX(Checklists!$K:$K,$K138)="","",INDEX(Checklists!$K:$K,$K138)))</f>
        <v/>
      </c>
      <c r="I138" s="13" t="str">
        <f aca="false">IF($K138="","",IF(INDEX(Checklists!$L:$L,$K138)="","",INDEX(Checklists!$L:$L,$K138)))</f>
        <v/>
      </c>
      <c r="K138" s="1" t="str">
        <f aca="false">IFERROR(MATCH(ROWS($K$4:$K138),Checklists!$N$2:$N$291,0)+1,"")</f>
        <v/>
      </c>
    </row>
    <row r="139" customFormat="false" ht="15" hidden="false" customHeight="true" outlineLevel="0" collapsed="false">
      <c r="A139" s="13" t="str">
        <f aca="false">IF($K139="","",ROWS($K$4:$K139))</f>
        <v/>
      </c>
      <c r="B139" s="13" t="str">
        <f aca="false">IF($K139="","",IF(INDEX(Checklists!$A:$A,$K139)="","",INDEX(Checklists!$A:$A,$K139)))</f>
        <v/>
      </c>
      <c r="C139" s="13" t="str">
        <f aca="false">IF($K139="","",IF(INDEX(Checklists!$B:$B,$K139)="","",INDEX(Checklists!$B:$B,$K139)))</f>
        <v/>
      </c>
      <c r="D139" s="11" t="str">
        <f aca="false">IF($K139="","",IF(INDEX(Checklists!$E:$E,$K139)="","",INDEX(Checklists!$E:$E,$K139)))</f>
        <v/>
      </c>
      <c r="E139" s="11" t="str">
        <f aca="false">IF($K139="","",IF(INDEX(Checklists!$H:$H,$K139)="","",INDEX(Checklists!$H:$H,$K139)))</f>
        <v/>
      </c>
      <c r="F139" s="11" t="str">
        <f aca="false">IF($K139="","",IF(INDEX(Checklists!$I:$I,$K139)="","",INDEX(Checklists!$I:$I,$K139)))</f>
        <v/>
      </c>
      <c r="G139" s="13" t="str">
        <f aca="false">IF($K139="","",IF(INDEX(Checklists!$J:$J,$K139)="","",INDEX(Checklists!$J:$J,$K139)))</f>
        <v/>
      </c>
      <c r="H139" s="26" t="str">
        <f aca="false">IF($K139="","",IF(INDEX(Checklists!$K:$K,$K139)="","",INDEX(Checklists!$K:$K,$K139)))</f>
        <v/>
      </c>
      <c r="I139" s="13" t="str">
        <f aca="false">IF($K139="","",IF(INDEX(Checklists!$L:$L,$K139)="","",INDEX(Checklists!$L:$L,$K139)))</f>
        <v/>
      </c>
      <c r="K139" s="1" t="str">
        <f aca="false">IFERROR(MATCH(ROWS($K$4:$K139),Checklists!$N$2:$N$291,0)+1,"")</f>
        <v/>
      </c>
    </row>
    <row r="140" customFormat="false" ht="15" hidden="false" customHeight="true" outlineLevel="0" collapsed="false">
      <c r="A140" s="13" t="str">
        <f aca="false">IF($K140="","",ROWS($K$4:$K140))</f>
        <v/>
      </c>
      <c r="B140" s="13" t="str">
        <f aca="false">IF($K140="","",IF(INDEX(Checklists!$A:$A,$K140)="","",INDEX(Checklists!$A:$A,$K140)))</f>
        <v/>
      </c>
      <c r="C140" s="13" t="str">
        <f aca="false">IF($K140="","",IF(INDEX(Checklists!$B:$B,$K140)="","",INDEX(Checklists!$B:$B,$K140)))</f>
        <v/>
      </c>
      <c r="D140" s="11" t="str">
        <f aca="false">IF($K140="","",IF(INDEX(Checklists!$E:$E,$K140)="","",INDEX(Checklists!$E:$E,$K140)))</f>
        <v/>
      </c>
      <c r="E140" s="11" t="str">
        <f aca="false">IF($K140="","",IF(INDEX(Checklists!$H:$H,$K140)="","",INDEX(Checklists!$H:$H,$K140)))</f>
        <v/>
      </c>
      <c r="F140" s="11" t="str">
        <f aca="false">IF($K140="","",IF(INDEX(Checklists!$I:$I,$K140)="","",INDEX(Checklists!$I:$I,$K140)))</f>
        <v/>
      </c>
      <c r="G140" s="13" t="str">
        <f aca="false">IF($K140="","",IF(INDEX(Checklists!$J:$J,$K140)="","",INDEX(Checklists!$J:$J,$K140)))</f>
        <v/>
      </c>
      <c r="H140" s="26" t="str">
        <f aca="false">IF($K140="","",IF(INDEX(Checklists!$K:$K,$K140)="","",INDEX(Checklists!$K:$K,$K140)))</f>
        <v/>
      </c>
      <c r="I140" s="13" t="str">
        <f aca="false">IF($K140="","",IF(INDEX(Checklists!$L:$L,$K140)="","",INDEX(Checklists!$L:$L,$K140)))</f>
        <v/>
      </c>
      <c r="K140" s="1" t="str">
        <f aca="false">IFERROR(MATCH(ROWS($K$4:$K140),Checklists!$N$2:$N$291,0)+1,"")</f>
        <v/>
      </c>
    </row>
    <row r="141" customFormat="false" ht="15" hidden="false" customHeight="true" outlineLevel="0" collapsed="false">
      <c r="A141" s="13" t="str">
        <f aca="false">IF($K141="","",ROWS($K$4:$K141))</f>
        <v/>
      </c>
      <c r="B141" s="13" t="str">
        <f aca="false">IF($K141="","",IF(INDEX(Checklists!$A:$A,$K141)="","",INDEX(Checklists!$A:$A,$K141)))</f>
        <v/>
      </c>
      <c r="C141" s="13" t="str">
        <f aca="false">IF($K141="","",IF(INDEX(Checklists!$B:$B,$K141)="","",INDEX(Checklists!$B:$B,$K141)))</f>
        <v/>
      </c>
      <c r="D141" s="11" t="str">
        <f aca="false">IF($K141="","",IF(INDEX(Checklists!$E:$E,$K141)="","",INDEX(Checklists!$E:$E,$K141)))</f>
        <v/>
      </c>
      <c r="E141" s="11" t="str">
        <f aca="false">IF($K141="","",IF(INDEX(Checklists!$H:$H,$K141)="","",INDEX(Checklists!$H:$H,$K141)))</f>
        <v/>
      </c>
      <c r="F141" s="11" t="str">
        <f aca="false">IF($K141="","",IF(INDEX(Checklists!$I:$I,$K141)="","",INDEX(Checklists!$I:$I,$K141)))</f>
        <v/>
      </c>
      <c r="G141" s="13" t="str">
        <f aca="false">IF($K141="","",IF(INDEX(Checklists!$J:$J,$K141)="","",INDEX(Checklists!$J:$J,$K141)))</f>
        <v/>
      </c>
      <c r="H141" s="26" t="str">
        <f aca="false">IF($K141="","",IF(INDEX(Checklists!$K:$K,$K141)="","",INDEX(Checklists!$K:$K,$K141)))</f>
        <v/>
      </c>
      <c r="I141" s="13" t="str">
        <f aca="false">IF($K141="","",IF(INDEX(Checklists!$L:$L,$K141)="","",INDEX(Checklists!$L:$L,$K141)))</f>
        <v/>
      </c>
      <c r="K141" s="1" t="str">
        <f aca="false">IFERROR(MATCH(ROWS($K$4:$K141),Checklists!$N$2:$N$291,0)+1,"")</f>
        <v/>
      </c>
    </row>
    <row r="142" customFormat="false" ht="15" hidden="false" customHeight="true" outlineLevel="0" collapsed="false">
      <c r="A142" s="13" t="str">
        <f aca="false">IF($K142="","",ROWS($K$4:$K142))</f>
        <v/>
      </c>
      <c r="B142" s="13" t="str">
        <f aca="false">IF($K142="","",IF(INDEX(Checklists!$A:$A,$K142)="","",INDEX(Checklists!$A:$A,$K142)))</f>
        <v/>
      </c>
      <c r="C142" s="13" t="str">
        <f aca="false">IF($K142="","",IF(INDEX(Checklists!$B:$B,$K142)="","",INDEX(Checklists!$B:$B,$K142)))</f>
        <v/>
      </c>
      <c r="D142" s="11" t="str">
        <f aca="false">IF($K142="","",IF(INDEX(Checklists!$E:$E,$K142)="","",INDEX(Checklists!$E:$E,$K142)))</f>
        <v/>
      </c>
      <c r="E142" s="11" t="str">
        <f aca="false">IF($K142="","",IF(INDEX(Checklists!$H:$H,$K142)="","",INDEX(Checklists!$H:$H,$K142)))</f>
        <v/>
      </c>
      <c r="F142" s="11" t="str">
        <f aca="false">IF($K142="","",IF(INDEX(Checklists!$I:$I,$K142)="","",INDEX(Checklists!$I:$I,$K142)))</f>
        <v/>
      </c>
      <c r="G142" s="13" t="str">
        <f aca="false">IF($K142="","",IF(INDEX(Checklists!$J:$J,$K142)="","",INDEX(Checklists!$J:$J,$K142)))</f>
        <v/>
      </c>
      <c r="H142" s="26" t="str">
        <f aca="false">IF($K142="","",IF(INDEX(Checklists!$K:$K,$K142)="","",INDEX(Checklists!$K:$K,$K142)))</f>
        <v/>
      </c>
      <c r="I142" s="13" t="str">
        <f aca="false">IF($K142="","",IF(INDEX(Checklists!$L:$L,$K142)="","",INDEX(Checklists!$L:$L,$K142)))</f>
        <v/>
      </c>
      <c r="K142" s="1" t="str">
        <f aca="false">IFERROR(MATCH(ROWS($K$4:$K142),Checklists!$N$2:$N$291,0)+1,"")</f>
        <v/>
      </c>
    </row>
    <row r="143" customFormat="false" ht="15" hidden="false" customHeight="true" outlineLevel="0" collapsed="false">
      <c r="A143" s="13" t="str">
        <f aca="false">IF($K143="","",ROWS($K$4:$K143))</f>
        <v/>
      </c>
      <c r="B143" s="13" t="str">
        <f aca="false">IF($K143="","",IF(INDEX(Checklists!$A:$A,$K143)="","",INDEX(Checklists!$A:$A,$K143)))</f>
        <v/>
      </c>
      <c r="C143" s="13" t="str">
        <f aca="false">IF($K143="","",IF(INDEX(Checklists!$B:$B,$K143)="","",INDEX(Checklists!$B:$B,$K143)))</f>
        <v/>
      </c>
      <c r="D143" s="11" t="str">
        <f aca="false">IF($K143="","",IF(INDEX(Checklists!$E:$E,$K143)="","",INDEX(Checklists!$E:$E,$K143)))</f>
        <v/>
      </c>
      <c r="E143" s="11" t="str">
        <f aca="false">IF($K143="","",IF(INDEX(Checklists!$H:$H,$K143)="","",INDEX(Checklists!$H:$H,$K143)))</f>
        <v/>
      </c>
      <c r="F143" s="11" t="str">
        <f aca="false">IF($K143="","",IF(INDEX(Checklists!$I:$I,$K143)="","",INDEX(Checklists!$I:$I,$K143)))</f>
        <v/>
      </c>
      <c r="G143" s="13" t="str">
        <f aca="false">IF($K143="","",IF(INDEX(Checklists!$J:$J,$K143)="","",INDEX(Checklists!$J:$J,$K143)))</f>
        <v/>
      </c>
      <c r="H143" s="26" t="str">
        <f aca="false">IF($K143="","",IF(INDEX(Checklists!$K:$K,$K143)="","",INDEX(Checklists!$K:$K,$K143)))</f>
        <v/>
      </c>
      <c r="I143" s="13" t="str">
        <f aca="false">IF($K143="","",IF(INDEX(Checklists!$L:$L,$K143)="","",INDEX(Checklists!$L:$L,$K143)))</f>
        <v/>
      </c>
      <c r="K143" s="1" t="str">
        <f aca="false">IFERROR(MATCH(ROWS($K$4:$K143),Checklists!$N$2:$N$291,0)+1,"")</f>
        <v/>
      </c>
    </row>
    <row r="144" customFormat="false" ht="15" hidden="false" customHeight="true" outlineLevel="0" collapsed="false">
      <c r="A144" s="13" t="str">
        <f aca="false">IF($K144="","",ROWS($K$4:$K144))</f>
        <v/>
      </c>
      <c r="B144" s="13" t="str">
        <f aca="false">IF($K144="","",IF(INDEX(Checklists!$A:$A,$K144)="","",INDEX(Checklists!$A:$A,$K144)))</f>
        <v/>
      </c>
      <c r="C144" s="13" t="str">
        <f aca="false">IF($K144="","",IF(INDEX(Checklists!$B:$B,$K144)="","",INDEX(Checklists!$B:$B,$K144)))</f>
        <v/>
      </c>
      <c r="D144" s="11" t="str">
        <f aca="false">IF($K144="","",IF(INDEX(Checklists!$E:$E,$K144)="","",INDEX(Checklists!$E:$E,$K144)))</f>
        <v/>
      </c>
      <c r="E144" s="11" t="str">
        <f aca="false">IF($K144="","",IF(INDEX(Checklists!$H:$H,$K144)="","",INDEX(Checklists!$H:$H,$K144)))</f>
        <v/>
      </c>
      <c r="F144" s="11" t="str">
        <f aca="false">IF($K144="","",IF(INDEX(Checklists!$I:$I,$K144)="","",INDEX(Checklists!$I:$I,$K144)))</f>
        <v/>
      </c>
      <c r="G144" s="13" t="str">
        <f aca="false">IF($K144="","",IF(INDEX(Checklists!$J:$J,$K144)="","",INDEX(Checklists!$J:$J,$K144)))</f>
        <v/>
      </c>
      <c r="H144" s="26" t="str">
        <f aca="false">IF($K144="","",IF(INDEX(Checklists!$K:$K,$K144)="","",INDEX(Checklists!$K:$K,$K144)))</f>
        <v/>
      </c>
      <c r="I144" s="13" t="str">
        <f aca="false">IF($K144="","",IF(INDEX(Checklists!$L:$L,$K144)="","",INDEX(Checklists!$L:$L,$K144)))</f>
        <v/>
      </c>
      <c r="K144" s="1" t="str">
        <f aca="false">IFERROR(MATCH(ROWS($K$4:$K144),Checklists!$N$2:$N$291,0)+1,"")</f>
        <v/>
      </c>
    </row>
    <row r="145" customFormat="false" ht="15" hidden="false" customHeight="true" outlineLevel="0" collapsed="false">
      <c r="A145" s="13" t="str">
        <f aca="false">IF($K145="","",ROWS($K$4:$K145))</f>
        <v/>
      </c>
      <c r="B145" s="13" t="str">
        <f aca="false">IF($K145="","",IF(INDEX(Checklists!$A:$A,$K145)="","",INDEX(Checklists!$A:$A,$K145)))</f>
        <v/>
      </c>
      <c r="C145" s="13" t="str">
        <f aca="false">IF($K145="","",IF(INDEX(Checklists!$B:$B,$K145)="","",INDEX(Checklists!$B:$B,$K145)))</f>
        <v/>
      </c>
      <c r="D145" s="11" t="str">
        <f aca="false">IF($K145="","",IF(INDEX(Checklists!$E:$E,$K145)="","",INDEX(Checklists!$E:$E,$K145)))</f>
        <v/>
      </c>
      <c r="E145" s="11" t="str">
        <f aca="false">IF($K145="","",IF(INDEX(Checklists!$H:$H,$K145)="","",INDEX(Checklists!$H:$H,$K145)))</f>
        <v/>
      </c>
      <c r="F145" s="11" t="str">
        <f aca="false">IF($K145="","",IF(INDEX(Checklists!$I:$I,$K145)="","",INDEX(Checklists!$I:$I,$K145)))</f>
        <v/>
      </c>
      <c r="G145" s="13" t="str">
        <f aca="false">IF($K145="","",IF(INDEX(Checklists!$J:$J,$K145)="","",INDEX(Checklists!$J:$J,$K145)))</f>
        <v/>
      </c>
      <c r="H145" s="26" t="str">
        <f aca="false">IF($K145="","",IF(INDEX(Checklists!$K:$K,$K145)="","",INDEX(Checklists!$K:$K,$K145)))</f>
        <v/>
      </c>
      <c r="I145" s="13" t="str">
        <f aca="false">IF($K145="","",IF(INDEX(Checklists!$L:$L,$K145)="","",INDEX(Checklists!$L:$L,$K145)))</f>
        <v/>
      </c>
      <c r="K145" s="1" t="str">
        <f aca="false">IFERROR(MATCH(ROWS($K$4:$K145),Checklists!$N$2:$N$291,0)+1,"")</f>
        <v/>
      </c>
    </row>
    <row r="146" customFormat="false" ht="15" hidden="false" customHeight="true" outlineLevel="0" collapsed="false">
      <c r="A146" s="13" t="str">
        <f aca="false">IF($K146="","",ROWS($K$4:$K146))</f>
        <v/>
      </c>
      <c r="B146" s="13" t="str">
        <f aca="false">IF($K146="","",IF(INDEX(Checklists!$A:$A,$K146)="","",INDEX(Checklists!$A:$A,$K146)))</f>
        <v/>
      </c>
      <c r="C146" s="13" t="str">
        <f aca="false">IF($K146="","",IF(INDEX(Checklists!$B:$B,$K146)="","",INDEX(Checklists!$B:$B,$K146)))</f>
        <v/>
      </c>
      <c r="D146" s="11" t="str">
        <f aca="false">IF($K146="","",IF(INDEX(Checklists!$E:$E,$K146)="","",INDEX(Checklists!$E:$E,$K146)))</f>
        <v/>
      </c>
      <c r="E146" s="11" t="str">
        <f aca="false">IF($K146="","",IF(INDEX(Checklists!$H:$H,$K146)="","",INDEX(Checklists!$H:$H,$K146)))</f>
        <v/>
      </c>
      <c r="F146" s="11" t="str">
        <f aca="false">IF($K146="","",IF(INDEX(Checklists!$I:$I,$K146)="","",INDEX(Checklists!$I:$I,$K146)))</f>
        <v/>
      </c>
      <c r="G146" s="13" t="str">
        <f aca="false">IF($K146="","",IF(INDEX(Checklists!$J:$J,$K146)="","",INDEX(Checklists!$J:$J,$K146)))</f>
        <v/>
      </c>
      <c r="H146" s="26" t="str">
        <f aca="false">IF($K146="","",IF(INDEX(Checklists!$K:$K,$K146)="","",INDEX(Checklists!$K:$K,$K146)))</f>
        <v/>
      </c>
      <c r="I146" s="13" t="str">
        <f aca="false">IF($K146="","",IF(INDEX(Checklists!$L:$L,$K146)="","",INDEX(Checklists!$L:$L,$K146)))</f>
        <v/>
      </c>
      <c r="K146" s="1" t="str">
        <f aca="false">IFERROR(MATCH(ROWS($K$4:$K146),Checklists!$N$2:$N$291,0)+1,"")</f>
        <v/>
      </c>
    </row>
    <row r="147" customFormat="false" ht="15" hidden="false" customHeight="true" outlineLevel="0" collapsed="false">
      <c r="A147" s="13" t="str">
        <f aca="false">IF($K147="","",ROWS($K$4:$K147))</f>
        <v/>
      </c>
      <c r="B147" s="13" t="str">
        <f aca="false">IF($K147="","",IF(INDEX(Checklists!$A:$A,$K147)="","",INDEX(Checklists!$A:$A,$K147)))</f>
        <v/>
      </c>
      <c r="C147" s="13" t="str">
        <f aca="false">IF($K147="","",IF(INDEX(Checklists!$B:$B,$K147)="","",INDEX(Checklists!$B:$B,$K147)))</f>
        <v/>
      </c>
      <c r="D147" s="11" t="str">
        <f aca="false">IF($K147="","",IF(INDEX(Checklists!$E:$E,$K147)="","",INDEX(Checklists!$E:$E,$K147)))</f>
        <v/>
      </c>
      <c r="E147" s="11" t="str">
        <f aca="false">IF($K147="","",IF(INDEX(Checklists!$H:$H,$K147)="","",INDEX(Checklists!$H:$H,$K147)))</f>
        <v/>
      </c>
      <c r="F147" s="11" t="str">
        <f aca="false">IF($K147="","",IF(INDEX(Checklists!$I:$I,$K147)="","",INDEX(Checklists!$I:$I,$K147)))</f>
        <v/>
      </c>
      <c r="G147" s="13" t="str">
        <f aca="false">IF($K147="","",IF(INDEX(Checklists!$J:$J,$K147)="","",INDEX(Checklists!$J:$J,$K147)))</f>
        <v/>
      </c>
      <c r="H147" s="26" t="str">
        <f aca="false">IF($K147="","",IF(INDEX(Checklists!$K:$K,$K147)="","",INDEX(Checklists!$K:$K,$K147)))</f>
        <v/>
      </c>
      <c r="I147" s="13" t="str">
        <f aca="false">IF($K147="","",IF(INDEX(Checklists!$L:$L,$K147)="","",INDEX(Checklists!$L:$L,$K147)))</f>
        <v/>
      </c>
      <c r="K147" s="1" t="str">
        <f aca="false">IFERROR(MATCH(ROWS($K$4:$K147),Checklists!$N$2:$N$291,0)+1,"")</f>
        <v/>
      </c>
    </row>
    <row r="148" customFormat="false" ht="15" hidden="false" customHeight="true" outlineLevel="0" collapsed="false">
      <c r="A148" s="13" t="str">
        <f aca="false">IF($K148="","",ROWS($K$4:$K148))</f>
        <v/>
      </c>
      <c r="B148" s="13" t="str">
        <f aca="false">IF($K148="","",IF(INDEX(Checklists!$A:$A,$K148)="","",INDEX(Checklists!$A:$A,$K148)))</f>
        <v/>
      </c>
      <c r="C148" s="13" t="str">
        <f aca="false">IF($K148="","",IF(INDEX(Checklists!$B:$B,$K148)="","",INDEX(Checklists!$B:$B,$K148)))</f>
        <v/>
      </c>
      <c r="D148" s="11" t="str">
        <f aca="false">IF($K148="","",IF(INDEX(Checklists!$E:$E,$K148)="","",INDEX(Checklists!$E:$E,$K148)))</f>
        <v/>
      </c>
      <c r="E148" s="11" t="str">
        <f aca="false">IF($K148="","",IF(INDEX(Checklists!$H:$H,$K148)="","",INDEX(Checklists!$H:$H,$K148)))</f>
        <v/>
      </c>
      <c r="F148" s="11" t="str">
        <f aca="false">IF($K148="","",IF(INDEX(Checklists!$I:$I,$K148)="","",INDEX(Checklists!$I:$I,$K148)))</f>
        <v/>
      </c>
      <c r="G148" s="13" t="str">
        <f aca="false">IF($K148="","",IF(INDEX(Checklists!$J:$J,$K148)="","",INDEX(Checklists!$J:$J,$K148)))</f>
        <v/>
      </c>
      <c r="H148" s="26" t="str">
        <f aca="false">IF($K148="","",IF(INDEX(Checklists!$K:$K,$K148)="","",INDEX(Checklists!$K:$K,$K148)))</f>
        <v/>
      </c>
      <c r="I148" s="13" t="str">
        <f aca="false">IF($K148="","",IF(INDEX(Checklists!$L:$L,$K148)="","",INDEX(Checklists!$L:$L,$K148)))</f>
        <v/>
      </c>
      <c r="K148" s="1" t="str">
        <f aca="false">IFERROR(MATCH(ROWS($K$4:$K148),Checklists!$N$2:$N$291,0)+1,"")</f>
        <v/>
      </c>
    </row>
    <row r="149" customFormat="false" ht="15" hidden="false" customHeight="true" outlineLevel="0" collapsed="false">
      <c r="A149" s="13" t="str">
        <f aca="false">IF($K149="","",ROWS($K$4:$K149))</f>
        <v/>
      </c>
      <c r="B149" s="13" t="str">
        <f aca="false">IF($K149="","",IF(INDEX(Checklists!$A:$A,$K149)="","",INDEX(Checklists!$A:$A,$K149)))</f>
        <v/>
      </c>
      <c r="C149" s="13" t="str">
        <f aca="false">IF($K149="","",IF(INDEX(Checklists!$B:$B,$K149)="","",INDEX(Checklists!$B:$B,$K149)))</f>
        <v/>
      </c>
      <c r="D149" s="11" t="str">
        <f aca="false">IF($K149="","",IF(INDEX(Checklists!$E:$E,$K149)="","",INDEX(Checklists!$E:$E,$K149)))</f>
        <v/>
      </c>
      <c r="E149" s="11" t="str">
        <f aca="false">IF($K149="","",IF(INDEX(Checklists!$H:$H,$K149)="","",INDEX(Checklists!$H:$H,$K149)))</f>
        <v/>
      </c>
      <c r="F149" s="11" t="str">
        <f aca="false">IF($K149="","",IF(INDEX(Checklists!$I:$I,$K149)="","",INDEX(Checklists!$I:$I,$K149)))</f>
        <v/>
      </c>
      <c r="G149" s="13" t="str">
        <f aca="false">IF($K149="","",IF(INDEX(Checklists!$J:$J,$K149)="","",INDEX(Checklists!$J:$J,$K149)))</f>
        <v/>
      </c>
      <c r="H149" s="26" t="str">
        <f aca="false">IF($K149="","",IF(INDEX(Checklists!$K:$K,$K149)="","",INDEX(Checklists!$K:$K,$K149)))</f>
        <v/>
      </c>
      <c r="I149" s="13" t="str">
        <f aca="false">IF($K149="","",IF(INDEX(Checklists!$L:$L,$K149)="","",INDEX(Checklists!$L:$L,$K149)))</f>
        <v/>
      </c>
      <c r="K149" s="1" t="str">
        <f aca="false">IFERROR(MATCH(ROWS($K$4:$K149),Checklists!$N$2:$N$291,0)+1,"")</f>
        <v/>
      </c>
    </row>
    <row r="150" customFormat="false" ht="15" hidden="false" customHeight="true" outlineLevel="0" collapsed="false">
      <c r="A150" s="13" t="str">
        <f aca="false">IF($K150="","",ROWS($K$4:$K150))</f>
        <v/>
      </c>
      <c r="B150" s="13" t="str">
        <f aca="false">IF($K150="","",IF(INDEX(Checklists!$A:$A,$K150)="","",INDEX(Checklists!$A:$A,$K150)))</f>
        <v/>
      </c>
      <c r="C150" s="13" t="str">
        <f aca="false">IF($K150="","",IF(INDEX(Checklists!$B:$B,$K150)="","",INDEX(Checklists!$B:$B,$K150)))</f>
        <v/>
      </c>
      <c r="D150" s="11" t="str">
        <f aca="false">IF($K150="","",IF(INDEX(Checklists!$E:$E,$K150)="","",INDEX(Checklists!$E:$E,$K150)))</f>
        <v/>
      </c>
      <c r="E150" s="11" t="str">
        <f aca="false">IF($K150="","",IF(INDEX(Checklists!$H:$H,$K150)="","",INDEX(Checklists!$H:$H,$K150)))</f>
        <v/>
      </c>
      <c r="F150" s="11" t="str">
        <f aca="false">IF($K150="","",IF(INDEX(Checklists!$I:$I,$K150)="","",INDEX(Checklists!$I:$I,$K150)))</f>
        <v/>
      </c>
      <c r="G150" s="13" t="str">
        <f aca="false">IF($K150="","",IF(INDEX(Checklists!$J:$J,$K150)="","",INDEX(Checklists!$J:$J,$K150)))</f>
        <v/>
      </c>
      <c r="H150" s="26" t="str">
        <f aca="false">IF($K150="","",IF(INDEX(Checklists!$K:$K,$K150)="","",INDEX(Checklists!$K:$K,$K150)))</f>
        <v/>
      </c>
      <c r="I150" s="13" t="str">
        <f aca="false">IF($K150="","",IF(INDEX(Checklists!$L:$L,$K150)="","",INDEX(Checklists!$L:$L,$K150)))</f>
        <v/>
      </c>
      <c r="K150" s="1" t="str">
        <f aca="false">IFERROR(MATCH(ROWS($K$4:$K150),Checklists!$N$2:$N$291,0)+1,"")</f>
        <v/>
      </c>
    </row>
    <row r="151" customFormat="false" ht="15" hidden="false" customHeight="true" outlineLevel="0" collapsed="false">
      <c r="A151" s="13" t="str">
        <f aca="false">IF($K151="","",ROWS($K$4:$K151))</f>
        <v/>
      </c>
      <c r="B151" s="13" t="str">
        <f aca="false">IF($K151="","",IF(INDEX(Checklists!$A:$A,$K151)="","",INDEX(Checklists!$A:$A,$K151)))</f>
        <v/>
      </c>
      <c r="C151" s="13" t="str">
        <f aca="false">IF($K151="","",IF(INDEX(Checklists!$B:$B,$K151)="","",INDEX(Checklists!$B:$B,$K151)))</f>
        <v/>
      </c>
      <c r="D151" s="11" t="str">
        <f aca="false">IF($K151="","",IF(INDEX(Checklists!$E:$E,$K151)="","",INDEX(Checklists!$E:$E,$K151)))</f>
        <v/>
      </c>
      <c r="E151" s="11" t="str">
        <f aca="false">IF($K151="","",IF(INDEX(Checklists!$H:$H,$K151)="","",INDEX(Checklists!$H:$H,$K151)))</f>
        <v/>
      </c>
      <c r="F151" s="11" t="str">
        <f aca="false">IF($K151="","",IF(INDEX(Checklists!$I:$I,$K151)="","",INDEX(Checklists!$I:$I,$K151)))</f>
        <v/>
      </c>
      <c r="G151" s="13" t="str">
        <f aca="false">IF($K151="","",IF(INDEX(Checklists!$J:$J,$K151)="","",INDEX(Checklists!$J:$J,$K151)))</f>
        <v/>
      </c>
      <c r="H151" s="26" t="str">
        <f aca="false">IF($K151="","",IF(INDEX(Checklists!$K:$K,$K151)="","",INDEX(Checklists!$K:$K,$K151)))</f>
        <v/>
      </c>
      <c r="I151" s="13" t="str">
        <f aca="false">IF($K151="","",IF(INDEX(Checklists!$L:$L,$K151)="","",INDEX(Checklists!$L:$L,$K151)))</f>
        <v/>
      </c>
      <c r="K151" s="1" t="str">
        <f aca="false">IFERROR(MATCH(ROWS($K$4:$K151),Checklists!$N$2:$N$291,0)+1,"")</f>
        <v/>
      </c>
    </row>
    <row r="152" customFormat="false" ht="15" hidden="false" customHeight="true" outlineLevel="0" collapsed="false">
      <c r="A152" s="13" t="str">
        <f aca="false">IF($K152="","",ROWS($K$4:$K152))</f>
        <v/>
      </c>
      <c r="B152" s="13" t="str">
        <f aca="false">IF($K152="","",IF(INDEX(Checklists!$A:$A,$K152)="","",INDEX(Checklists!$A:$A,$K152)))</f>
        <v/>
      </c>
      <c r="C152" s="13" t="str">
        <f aca="false">IF($K152="","",IF(INDEX(Checklists!$B:$B,$K152)="","",INDEX(Checklists!$B:$B,$K152)))</f>
        <v/>
      </c>
      <c r="D152" s="11" t="str">
        <f aca="false">IF($K152="","",IF(INDEX(Checklists!$E:$E,$K152)="","",INDEX(Checklists!$E:$E,$K152)))</f>
        <v/>
      </c>
      <c r="E152" s="11" t="str">
        <f aca="false">IF($K152="","",IF(INDEX(Checklists!$H:$H,$K152)="","",INDEX(Checklists!$H:$H,$K152)))</f>
        <v/>
      </c>
      <c r="F152" s="11" t="str">
        <f aca="false">IF($K152="","",IF(INDEX(Checklists!$I:$I,$K152)="","",INDEX(Checklists!$I:$I,$K152)))</f>
        <v/>
      </c>
      <c r="G152" s="13" t="str">
        <f aca="false">IF($K152="","",IF(INDEX(Checklists!$J:$J,$K152)="","",INDEX(Checklists!$J:$J,$K152)))</f>
        <v/>
      </c>
      <c r="H152" s="26" t="str">
        <f aca="false">IF($K152="","",IF(INDEX(Checklists!$K:$K,$K152)="","",INDEX(Checklists!$K:$K,$K152)))</f>
        <v/>
      </c>
      <c r="I152" s="13" t="str">
        <f aca="false">IF($K152="","",IF(INDEX(Checklists!$L:$L,$K152)="","",INDEX(Checklists!$L:$L,$K152)))</f>
        <v/>
      </c>
      <c r="K152" s="1" t="str">
        <f aca="false">IFERROR(MATCH(ROWS($K$4:$K152),Checklists!$N$2:$N$291,0)+1,"")</f>
        <v/>
      </c>
    </row>
    <row r="153" customFormat="false" ht="15" hidden="false" customHeight="true" outlineLevel="0" collapsed="false">
      <c r="A153" s="13" t="str">
        <f aca="false">IF($K153="","",ROWS($K$4:$K153))</f>
        <v/>
      </c>
      <c r="B153" s="13" t="str">
        <f aca="false">IF($K153="","",IF(INDEX(Checklists!$A:$A,$K153)="","",INDEX(Checklists!$A:$A,$K153)))</f>
        <v/>
      </c>
      <c r="C153" s="13" t="str">
        <f aca="false">IF($K153="","",IF(INDEX(Checklists!$B:$B,$K153)="","",INDEX(Checklists!$B:$B,$K153)))</f>
        <v/>
      </c>
      <c r="D153" s="11" t="str">
        <f aca="false">IF($K153="","",IF(INDEX(Checklists!$E:$E,$K153)="","",INDEX(Checklists!$E:$E,$K153)))</f>
        <v/>
      </c>
      <c r="E153" s="11" t="str">
        <f aca="false">IF($K153="","",IF(INDEX(Checklists!$H:$H,$K153)="","",INDEX(Checklists!$H:$H,$K153)))</f>
        <v/>
      </c>
      <c r="F153" s="11" t="str">
        <f aca="false">IF($K153="","",IF(INDEX(Checklists!$I:$I,$K153)="","",INDEX(Checklists!$I:$I,$K153)))</f>
        <v/>
      </c>
      <c r="G153" s="13" t="str">
        <f aca="false">IF($K153="","",IF(INDEX(Checklists!$J:$J,$K153)="","",INDEX(Checklists!$J:$J,$K153)))</f>
        <v/>
      </c>
      <c r="H153" s="26" t="str">
        <f aca="false">IF($K153="","",IF(INDEX(Checklists!$K:$K,$K153)="","",INDEX(Checklists!$K:$K,$K153)))</f>
        <v/>
      </c>
      <c r="I153" s="13" t="str">
        <f aca="false">IF($K153="","",IF(INDEX(Checklists!$L:$L,$K153)="","",INDEX(Checklists!$L:$L,$K153)))</f>
        <v/>
      </c>
      <c r="K153" s="1" t="str">
        <f aca="false">IFERROR(MATCH(ROWS($K$4:$K153),Checklists!$N$2:$N$291,0)+1,"")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2026-07-02T17:01:19Z</dcterms:created>
  <dc:creator>openpyxl</dc:creator>
  <dc:description/>
  <dc:language>en-US</dc:language>
  <cp:lastModifiedBy/>
  <dcterms:modified xsi:type="dcterms:W3CDTF">2026-07-02T17:19:19Z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